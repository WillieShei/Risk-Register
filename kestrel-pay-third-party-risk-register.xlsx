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Guide" sheetId="2" state="visible" r:id="rId4"/>
    <sheet name="Vendor Inventory" sheetId="3" state="visible" r:id="rId5"/>
    <sheet name="Treatment Plan" sheetId="4" state="visible" r:id="rId6"/>
  </sheets>
  <definedNames>
    <definedName function="false" hidden="true" localSheetId="0" name="_xlnm._FilterDatabase" vbProcedure="false">'Risk Register'!$A$4:$U$29</definedName>
    <definedName function="false" hidden="true" localSheetId="3" name="_xlnm._FilterDatabase" vbProcedure="false">'Treatment Plan'!$A$4:$N$20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<sst xmlns="http://schemas.openxmlformats.org/spreadsheetml/2006/main" count="690" uniqueCount="386">
  <si>
    <t xml:space="preserve">Kestrel Pay Inc. - Third-Party Risk Register</t>
  </si>
  <si>
    <t xml:space="preserve">Scope: third-party and vendor risk. Assessment date 2026-07-30. Owner: Office of the CISO. Fictional company created for training purposes.</t>
  </si>
  <si>
    <t xml:space="preserve">Risk ID</t>
  </si>
  <si>
    <t xml:space="preserve">Vendor / Vendor Group</t>
  </si>
  <si>
    <t xml:space="preserve">Tier</t>
  </si>
  <si>
    <t xml:space="preserve">Risk Category</t>
  </si>
  <si>
    <t xml:space="preserve">Risk Description</t>
  </si>
  <si>
    <t xml:space="preserve">Inh. L</t>
  </si>
  <si>
    <t xml:space="preserve">Inh. I</t>
  </si>
  <si>
    <t xml:space="preserve">Inh. Score</t>
  </si>
  <si>
    <t xml:space="preserve">Inh. Rating</t>
  </si>
  <si>
    <t xml:space="preserve">Existing Controls</t>
  </si>
  <si>
    <t xml:space="preserve">Res. L</t>
  </si>
  <si>
    <t xml:space="preserve">Res. I</t>
  </si>
  <si>
    <t xml:space="preserve">Res. Score</t>
  </si>
  <si>
    <t xml:space="preserve">Res. Rating</t>
  </si>
  <si>
    <t xml:space="preserve">Treatment</t>
  </si>
  <si>
    <t xml:space="preserve">Risk Owner (Role)</t>
  </si>
  <si>
    <t xml:space="preserve">Target Date</t>
  </si>
  <si>
    <t xml:space="preserve">Review Cadence</t>
  </si>
  <si>
    <t xml:space="preserve">Status</t>
  </si>
  <si>
    <t xml:space="preserve">PCI DSS v4.0 Ref</t>
  </si>
  <si>
    <t xml:space="preserve">OSFI B-10 Ref</t>
  </si>
  <si>
    <t xml:space="preserve">TPR-001</t>
  </si>
  <si>
    <t xml:space="preserve">Amazon Web Services</t>
  </si>
  <si>
    <t xml:space="preserve">Tier 1</t>
  </si>
  <si>
    <t xml:space="preserve">Operational / Availability</t>
  </si>
  <si>
    <t xml:space="preserve">Regional outage in ca-central-1 exceeds the 4-hour RTO because failover to us-east-1 is documented but has never been tested end-to-end for the card authorization path.</t>
  </si>
  <si>
    <t xml:space="preserve">Multi-AZ deployment; infrastructure as code; written failover runbook; annual DR tabletop (discussion-based only).</t>
  </si>
  <si>
    <t xml:space="preserve">Mitigate</t>
  </si>
  <si>
    <t xml:space="preserve">VP Engineering</t>
  </si>
  <si>
    <t xml:space="preserve">2026-11-30</t>
  </si>
  <si>
    <t xml:space="preserve">Quarterly</t>
  </si>
  <si>
    <t xml:space="preserve">Open</t>
  </si>
  <si>
    <t xml:space="preserve">12.8.4; 12.10.1</t>
  </si>
  <si>
    <t xml:space="preserve">B-10 business continuity &amp; exit planning</t>
  </si>
  <si>
    <t xml:space="preserve">TPR-002</t>
  </si>
  <si>
    <t xml:space="preserve">Compliance / Privacy</t>
  </si>
  <si>
    <t xml:space="preserve">Failover to us-east-1 relocates Canadian cardholder and PII data into US jurisdiction without a documented cross-border transfer assessment or customer notification.</t>
  </si>
  <si>
    <t xml:space="preserve">AWS DPA executed; encryption at rest and in transit; region pinned for steady-state processing.</t>
  </si>
  <si>
    <t xml:space="preserve">Chief Privacy Officer</t>
  </si>
  <si>
    <t xml:space="preserve">2026-10-15</t>
  </si>
  <si>
    <t xml:space="preserve">Annual</t>
  </si>
  <si>
    <t xml:space="preserve">12.8.2; 3.5.1</t>
  </si>
  <si>
    <t xml:space="preserve">B-10 due diligence &amp; data location</t>
  </si>
  <si>
    <t xml:space="preserve">TPR-003</t>
  </si>
  <si>
    <t xml:space="preserve">Sponsor Bank</t>
  </si>
  <si>
    <t xml:space="preserve">Strategic / Concentration</t>
  </si>
  <si>
    <t xml:space="preserve">Sponsor bank exits fintech BIN sponsorship or is directed by its regulator to reduce programme exposure, terminating card issuing on 90 days notice with no alternate sponsor in place.</t>
  </si>
  <si>
    <t xml:space="preserve">Contractual 90-day notice period; quarterly relationship review; annual programme audit passed.</t>
  </si>
  <si>
    <t xml:space="preserve">Chief Executive Officer</t>
  </si>
  <si>
    <t xml:space="preserve">2027-03-31</t>
  </si>
  <si>
    <t xml:space="preserve">12.8.1; 12.8.3</t>
  </si>
  <si>
    <t xml:space="preserve">B-10 concentration risk &amp; exit strategy</t>
  </si>
  <si>
    <t xml:space="preserve">TPR-004</t>
  </si>
  <si>
    <t xml:space="preserve">Card Network Gateway Processor</t>
  </si>
  <si>
    <t xml:space="preserve">Gateway outage during a peak retail window declines transactions across the entire merchant base; no secondary gateway integration exists to absorb volume.</t>
  </si>
  <si>
    <t xml:space="preserve">99.95% SLA with service credits; real-time status monitoring; merchant incident comms plan; monthly ops review.</t>
  </si>
  <si>
    <t xml:space="preserve">2027-01-31</t>
  </si>
  <si>
    <t xml:space="preserve">Monthly</t>
  </si>
  <si>
    <t xml:space="preserve">B-10 monitoring &amp; business continuity</t>
  </si>
  <si>
    <t xml:space="preserve">TPR-005</t>
  </si>
  <si>
    <t xml:space="preserve">Financial</t>
  </si>
  <si>
    <t xml:space="preserve">SLA credits are capped at 10% of monthly fees and expressly exclude consequential loss, so merchant attrition and forgone interchange from an outage fall entirely on Kestrel.</t>
  </si>
  <si>
    <t xml:space="preserve">Outage cost tracked in the incident record; no contractual or insurance recovery mechanism.</t>
  </si>
  <si>
    <t xml:space="preserve">Chief Financial Officer</t>
  </si>
  <si>
    <t xml:space="preserve">2027-02-28</t>
  </si>
  <si>
    <t xml:space="preserve">12.8.2</t>
  </si>
  <si>
    <t xml:space="preserve">B-10 contractual provisions</t>
  </si>
  <si>
    <t xml:space="preserve">TPR-006</t>
  </si>
  <si>
    <t xml:space="preserve">BIN / Issuer Processor</t>
  </si>
  <si>
    <t xml:space="preserve">Security</t>
  </si>
  <si>
    <t xml:space="preserve">Issuer processor holds full PAN and issues admin API credentials with no IP allowlisting; credential compromise would permit mass card enumeration and unauthorized issuance.</t>
  </si>
  <si>
    <t xml:space="preserve">Mutual TLS; API keys rotated every 180 days and held in the secrets vault; annual SOC 2 Type II reviewed; least-privilege role assignment.</t>
  </si>
  <si>
    <t xml:space="preserve">CISO</t>
  </si>
  <si>
    <t xml:space="preserve">2026-12-31</t>
  </si>
  <si>
    <t xml:space="preserve">Semi-annual</t>
  </si>
  <si>
    <t xml:space="preserve">12.8.5; 8.3.6</t>
  </si>
  <si>
    <t xml:space="preserve">B-10 technology &amp; cyber risk</t>
  </si>
  <si>
    <t xml:space="preserve">TPR-007</t>
  </si>
  <si>
    <t xml:space="preserve">KYC / Identity Verification Provider</t>
  </si>
  <si>
    <t xml:space="preserve">Compliance</t>
  </si>
  <si>
    <t xml:space="preserve">Vendor's document-verification model degrades after an undisclosed retraining, raising the false-accept rate and onboarding synthetic or sanctioned identities in breach of FINTRAC obligations.</t>
  </si>
  <si>
    <t xml:space="preserve">Monthly QA sampling of 200 approved applications; independent secondary sanctions screen before account funding.</t>
  </si>
  <si>
    <t xml:space="preserve">Chief Compliance Officer</t>
  </si>
  <si>
    <t xml:space="preserve">2026-12-15</t>
  </si>
  <si>
    <t xml:space="preserve">12.8.4</t>
  </si>
  <si>
    <t xml:space="preserve">B-10 ongoing monitoring &amp; performance</t>
  </si>
  <si>
    <t xml:space="preserve">TPR-008</t>
  </si>
  <si>
    <t xml:space="preserve">Privacy / Security</t>
  </si>
  <si>
    <t xml:space="preserve">Vendor retains government identity document images beyond the contracted 90-day window; a breach at the vendor would expose ID scans for roughly 400,000 applicants.</t>
  </si>
  <si>
    <t xml:space="preserve">Contractual deletion clause in the MSA; no deletion attestation has ever been requested or received.</t>
  </si>
  <si>
    <t xml:space="preserve">2026-11-15</t>
  </si>
  <si>
    <t xml:space="preserve">12.8.2; 3.2.1</t>
  </si>
  <si>
    <t xml:space="preserve">B-10 due diligence &amp; data handling</t>
  </si>
  <si>
    <t xml:space="preserve">TPR-009</t>
  </si>
  <si>
    <t xml:space="preserve">AML Transaction Monitoring SaaS</t>
  </si>
  <si>
    <t xml:space="preserve">Detection rule thresholds are vendor-managed and tuned without Kestrel change approval, risking undetected suspicious activity and an adverse FINTRAC examination finding.</t>
  </si>
  <si>
    <t xml:space="preserve">Quarterly independent model validation; change log provided by vendor after the fact; alert volume trended monthly.</t>
  </si>
  <si>
    <t xml:space="preserve">2027-01-15</t>
  </si>
  <si>
    <t xml:space="preserve">12.8.5</t>
  </si>
  <si>
    <t xml:space="preserve">B-10 accountability &amp; oversight</t>
  </si>
  <si>
    <t xml:space="preserve">TPR-010</t>
  </si>
  <si>
    <t xml:space="preserve">Fraud Scoring Vendor</t>
  </si>
  <si>
    <t xml:space="preserve">Operational</t>
  </si>
  <si>
    <t xml:space="preserve">Latency spike in the real-time scoring API pushes authorization response past the merchant timeout, producing false declines and driving merchant attrition.</t>
  </si>
  <si>
    <t xml:space="preserve">Circuit breaker at 250ms; latency alerting at p99; contractual latency SLA; quarterly load test.</t>
  </si>
  <si>
    <t xml:space="preserve">2026-10-31</t>
  </si>
  <si>
    <t xml:space="preserve">B-10 monitoring &amp; performance</t>
  </si>
  <si>
    <t xml:space="preserve">TPR-011</t>
  </si>
  <si>
    <t xml:space="preserve">Financial / Security</t>
  </si>
  <si>
    <t xml:space="preserve">The circuit breaker fails open, so vendor degradation results in transactions being authorized unscored, creating an uncontrolled fraud-loss window until the alert is actioned.</t>
  </si>
  <si>
    <t xml:space="preserve">Local velocity and amount caps still enforced during fail-open; 15-minute paging alert on degradation; fraud loss reserve.</t>
  </si>
  <si>
    <t xml:space="preserve">Head of Risk Operations</t>
  </si>
  <si>
    <t xml:space="preserve">TPR-012</t>
  </si>
  <si>
    <t xml:space="preserve">Settlement Reconciliation Platform</t>
  </si>
  <si>
    <t xml:space="preserve">Vendor mis-maps an interchange or network fee schedule change, understating merchant settlement for a full cycle and triggering clawbacks and merchant disputes.</t>
  </si>
  <si>
    <t xml:space="preserve">Daily control totals reconciled against network reports; manual exception queue worked to zero; annual fee schedule walkthrough.</t>
  </si>
  <si>
    <t xml:space="preserve">Controller</t>
  </si>
  <si>
    <t xml:space="preserve">TPR-013</t>
  </si>
  <si>
    <t xml:space="preserve">Fourth Parties of Tier 1 Vendors</t>
  </si>
  <si>
    <t xml:space="preserve">Concentration</t>
  </si>
  <si>
    <t xml:space="preserve">KYC, fraud scoring, AML monitoring and hosting all resolve to the same underlying cloud provider and region, so a single provider event is a correlated failure across four critical services.</t>
  </si>
  <si>
    <t xml:space="preserve">None. Fourth-party dependency mapping has not been performed for any critical vendor.</t>
  </si>
  <si>
    <t xml:space="preserve">12.8.1; 12.8.5</t>
  </si>
  <si>
    <t xml:space="preserve">B-10 subcontracting &amp; concentration risk</t>
  </si>
  <si>
    <t xml:space="preserve">TPR-014</t>
  </si>
  <si>
    <t xml:space="preserve">Identity Provider (SSO)</t>
  </si>
  <si>
    <t xml:space="preserve">Tier 2</t>
  </si>
  <si>
    <t xml:space="preserve">Compromise of the IdP grants access to production consoles, the data warehouse and the admin portal; legacy break-glass accounts bypass MFA by design.</t>
  </si>
  <si>
    <t xml:space="preserve">Phishing-resistant MFA enforced for all admins; break-glass credentials held in the vault with use-triggered paging; quarterly access recertification.</t>
  </si>
  <si>
    <t xml:space="preserve">2026-09-30</t>
  </si>
  <si>
    <t xml:space="preserve">8.3.1; 12.8.5</t>
  </si>
  <si>
    <t xml:space="preserve">TPR-015</t>
  </si>
  <si>
    <t xml:space="preserve">SMS / Voice OTP Provider</t>
  </si>
  <si>
    <t xml:space="preserve">SIM-swap or SS7 interception defeats SMS one-time passcodes on merchant portal password reset, enabling takeover and redirection of settlement payouts.</t>
  </si>
  <si>
    <t xml:space="preserve">Payout bank account changes require a 24-hour cooling period plus outbound callback verification; anomalous reset alerting.</t>
  </si>
  <si>
    <t xml:space="preserve">8.4.2</t>
  </si>
  <si>
    <t xml:space="preserve">TPR-016</t>
  </si>
  <si>
    <t xml:space="preserve">Cloud Data Warehouse</t>
  </si>
  <si>
    <t xml:space="preserve">Privacy / Compliance</t>
  </si>
  <si>
    <t xml:space="preserve">The analytics pipeline lands PAN-adjacent fields in the warehouse in clear text, silently expanding PCI scope to a platform that has never been assessed.</t>
  </si>
  <si>
    <t xml:space="preserve">Tokenization applied at ingest for known PAN fields; quarterly scope review; column-level access controls.</t>
  </si>
  <si>
    <t xml:space="preserve">3.4.1; 12.8.5</t>
  </si>
  <si>
    <t xml:space="preserve">B-10 data governance</t>
  </si>
  <si>
    <t xml:space="preserve">TPR-017</t>
  </si>
  <si>
    <t xml:space="preserve">Support Ticketing Platform</t>
  </si>
  <si>
    <t xml:space="preserve">Privacy</t>
  </si>
  <si>
    <t xml:space="preserve">Support agents paste full card numbers into ticket bodies and attachments; the vendor retains and full-text indexes them indefinitely.</t>
  </si>
  <si>
    <t xml:space="preserve">DLP pattern blocking on ticket submission; agent training at onboarding and annually; 90-day retention configured but unverified.</t>
  </si>
  <si>
    <t xml:space="preserve">Head of Customer Operations</t>
  </si>
  <si>
    <t xml:space="preserve">3.2.1; 12.8.2</t>
  </si>
  <si>
    <t xml:space="preserve">B-10 data handling</t>
  </si>
  <si>
    <t xml:space="preserve">TPR-018</t>
  </si>
  <si>
    <t xml:space="preserve">Offshore Dispute BPO</t>
  </si>
  <si>
    <t xml:space="preserve">BPO agents access the merchant portal from unmanaged personal endpoints and from a delivery site outside the jurisdictions approved in the data processing agreement.</t>
  </si>
  <si>
    <t xml:space="preserve">VDI access mandated by contract; no technical enforcement, geo-fencing or device attestation in place; annual vendor questionnaire.</t>
  </si>
  <si>
    <t xml:space="preserve">12.8.2; 12.8.4</t>
  </si>
  <si>
    <t xml:space="preserve">B-10 subcontracting &amp; due diligence</t>
  </si>
  <si>
    <t xml:space="preserve">TPR-019</t>
  </si>
  <si>
    <t xml:space="preserve">Single-site BPO with no documented business continuity plan; local disruption halts chargeback representment inside network deadlines, converting disputes into automatic losses.</t>
  </si>
  <si>
    <t xml:space="preserve">None. BCP evidence was not requested at onboarding.</t>
  </si>
  <si>
    <t xml:space="preserve">Accept</t>
  </si>
  <si>
    <t xml:space="preserve">2027-06-30</t>
  </si>
  <si>
    <t xml:space="preserve">Accepted</t>
  </si>
  <si>
    <t xml:space="preserve">12.8.3</t>
  </si>
  <si>
    <t xml:space="preserve">B-10 business continuity</t>
  </si>
  <si>
    <t xml:space="preserve">TPR-020</t>
  </si>
  <si>
    <t xml:space="preserve">Source Control &amp; CI/CD</t>
  </si>
  <si>
    <t xml:space="preserve">Compromise of the CI/CD platform or a malicious transitive dependency injects code into the payment authorization service and reaches production through the normal release path.</t>
  </si>
  <si>
    <t xml:space="preserve">Signed commits; protected branches with two-reviewer approval; SBOM generated per release; artifact signing and verification at deploy; dependency scanning in pipeline.</t>
  </si>
  <si>
    <t xml:space="preserve">6.3.2; 12.8.5</t>
  </si>
  <si>
    <t xml:space="preserve">TPR-021</t>
  </si>
  <si>
    <t xml:space="preserve">Managed Detection &amp; Response</t>
  </si>
  <si>
    <t xml:space="preserve">Operational / Security</t>
  </si>
  <si>
    <t xml:space="preserve">MDR scope covers endpoint and network telemetry only; cloud control plane and SaaS audit logs are excluded, so a vendor-originated or identity-based intrusion goes undetected.</t>
  </si>
  <si>
    <t xml:space="preserve">Partial CloudTrail alerting maintained in-house; 24x7 MDR coverage for in-scope telemetry; monthly detection review.</t>
  </si>
  <si>
    <t xml:space="preserve">10.4.1; 12.8.5</t>
  </si>
  <si>
    <t xml:space="preserve">B-10 monitoring &amp; incident management</t>
  </si>
  <si>
    <t xml:space="preserve">TPR-022</t>
  </si>
  <si>
    <t xml:space="preserve">Long-tail SaaS (approx. 80 applications)</t>
  </si>
  <si>
    <t xml:space="preserve">Tier 3</t>
  </si>
  <si>
    <t xml:space="preserve">Compliance / Security</t>
  </si>
  <si>
    <t xml:space="preserve">SaaS purchased on corporate cards bypasses procurement and security review; an unknown subset processes customer personal data with no DPA, no security assessment and no inventory entry.</t>
  </si>
  <si>
    <t xml:space="preserve">Annual corporate card spend review; expense policy prohibits unapproved software purchases.</t>
  </si>
  <si>
    <t xml:space="preserve">B-10 inventory &amp; risk assessment</t>
  </si>
  <si>
    <t xml:space="preserve">TPR-023</t>
  </si>
  <si>
    <t xml:space="preserve">Programme-level (all critical vendors)</t>
  </si>
  <si>
    <t xml:space="preserve">Programme</t>
  </si>
  <si>
    <t xml:space="preserve">Compliance / Governance</t>
  </si>
  <si>
    <t xml:space="preserve">No annual reassessment cycle exists for critical vendors. SOC 2 reports are collected at onboarding only; several are more than 18 months stale and accompanying bridge letters have not been reviewed.</t>
  </si>
  <si>
    <t xml:space="preserve">Onboarding security review process; vendor inventory maintained in a spreadsheet by Finance.</t>
  </si>
  <si>
    <t xml:space="preserve">B-10 ongoing monitoring</t>
  </si>
  <si>
    <t xml:space="preserve">TPR-024</t>
  </si>
  <si>
    <t xml:space="preserve">Compliance / Legal</t>
  </si>
  <si>
    <t xml:space="preserve">Contracts for 9 of 22 critical vendors lack breach notification timelines, audit rights, or subcontractor consent clauses, leaving Kestrel unable to evidence flow-down obligations to its sponsor bank.</t>
  </si>
  <si>
    <t xml:space="preserve">Legal review performed at contract signature; standard MSA template introduced in 2025 and applied to new agreements only.</t>
  </si>
  <si>
    <t xml:space="preserve">General Counsel</t>
  </si>
  <si>
    <t xml:space="preserve">2027-04-30</t>
  </si>
  <si>
    <t xml:space="preserve">TPR-025</t>
  </si>
  <si>
    <t xml:space="preserve">Penetration Testing Firm</t>
  </si>
  <si>
    <t xml:space="preserve">Testing firm retains raw findings, credentials and network diagrams on a shared drive after engagement close, with no attestation of destruction.</t>
  </si>
  <si>
    <t xml:space="preserve">NDA and MSA destruction clause; findings delivered via encrypted portal; firm holds CREST accreditation.</t>
  </si>
  <si>
    <t xml:space="preserve">12.8.2; 11.4.1</t>
  </si>
  <si>
    <t xml:space="preserve">Assumptions and sources</t>
  </si>
  <si>
    <t xml:space="preserve">All vendors, findings, dates and counts are invented for this fictional exercise. No real organization is described.</t>
  </si>
  <si>
    <t xml:space="preserve">Likelihood and impact scores are the author's judgement, not the output of a quantitative model. Inherent scores assume the named controls are absent.</t>
  </si>
  <si>
    <t xml:space="preserve">PCI DSS references point to v4.0 requirement numbers, primarily 12.8 (third-party service providers). Confirm against the current standard before reuse.</t>
  </si>
  <si>
    <t xml:space="preserve">OSFI Guideline B-10 references are topical rather than exact clause citations. Map to the published guideline before using this outside a training context.</t>
  </si>
  <si>
    <t xml:space="preserve">Residual scores deliberately do not improve on every row. TPR-003, TPR-005, TPR-008, TPR-018, TPR-019, TPR-022 and TPR-023 show no reduction because the existing controls do not meaningfully address the risk.</t>
  </si>
  <si>
    <t xml:space="preserve">5x5 Scoring Model</t>
  </si>
  <si>
    <t xml:space="preserve">Likelihood</t>
  </si>
  <si>
    <t xml:space="preserve">Score</t>
  </si>
  <si>
    <t xml:space="preserve">Label</t>
  </si>
  <si>
    <t xml:space="preserve">Definition</t>
  </si>
  <si>
    <t xml:space="preserve">Almost certain</t>
  </si>
  <si>
    <t xml:space="preserve">Expected within 12 months, or has occurred in the last 12 months</t>
  </si>
  <si>
    <t xml:space="preserve">Likely</t>
  </si>
  <si>
    <t xml:space="preserve">More likely than not within 24 months</t>
  </si>
  <si>
    <t xml:space="preserve">Possible</t>
  </si>
  <si>
    <t xml:space="preserve">Credible within 24 months; has occurred at a peer</t>
  </si>
  <si>
    <t xml:space="preserve">Unlikely</t>
  </si>
  <si>
    <t xml:space="preserve">Would require an unusual combination of conditions</t>
  </si>
  <si>
    <t xml:space="preserve">Rare</t>
  </si>
  <si>
    <t xml:space="preserve">No known occurrence in the sector; would require multiple control failures</t>
  </si>
  <si>
    <t xml:space="preserve">Impact</t>
  </si>
  <si>
    <t xml:space="preserve">Severe</t>
  </si>
  <si>
    <t xml:space="preserve">Licence or sponsorship at risk, regulatory enforcement, or loss above $5M</t>
  </si>
  <si>
    <t xml:space="preserve">Major</t>
  </si>
  <si>
    <t xml:space="preserve">Regulatory finding, material merchant attrition, or loss of $1M to $5M</t>
  </si>
  <si>
    <t xml:space="preserve">Moderate</t>
  </si>
  <si>
    <t xml:space="preserve">Service degradation, remediable audit finding, or loss of $250K to $1M</t>
  </si>
  <si>
    <t xml:space="preserve">Minor</t>
  </si>
  <si>
    <t xml:space="preserve">Contained operational impact, or loss of $50K to $250K</t>
  </si>
  <si>
    <t xml:space="preserve">Negligible</t>
  </si>
  <si>
    <t xml:space="preserve">Absorbed in normal operations, loss below $50K</t>
  </si>
  <si>
    <t xml:space="preserve">Rating bands (Likelihood x Impact)</t>
  </si>
  <si>
    <t xml:space="preserve">Band</t>
  </si>
  <si>
    <t xml:space="preserve">Required response</t>
  </si>
  <si>
    <t xml:space="preserve">Low</t>
  </si>
  <si>
    <t xml:space="preserve">1 to 6</t>
  </si>
  <si>
    <t xml:space="preserve">Accept or monitor. Reviewed annually.</t>
  </si>
  <si>
    <t xml:space="preserve">Medium</t>
  </si>
  <si>
    <t xml:space="preserve">8 to 12</t>
  </si>
  <si>
    <t xml:space="preserve">Treatment plan with a named owner and target date.</t>
  </si>
  <si>
    <t xml:space="preserve">High</t>
  </si>
  <si>
    <t xml:space="preserve">15 to 16</t>
  </si>
  <si>
    <t xml:space="preserve">Treatment plan required. Reported to the Risk Committee quarterly.</t>
  </si>
  <si>
    <t xml:space="preserve">Critical</t>
  </si>
  <si>
    <t xml:space="preserve">20 to 25</t>
  </si>
  <si>
    <t xml:space="preserve">Executive escalation within 5 business days. Board reporting.</t>
  </si>
  <si>
    <t xml:space="preserve">Matrix (row = Likelihood, column = Impact)</t>
  </si>
  <si>
    <t xml:space="preserve">Kestrel Pay Inc. - Critical and Important Vendor Inventory</t>
  </si>
  <si>
    <t xml:space="preserve">Vendor / Group</t>
  </si>
  <si>
    <t xml:space="preserve">Service Provided</t>
  </si>
  <si>
    <t xml:space="preserve">Data Accessed</t>
  </si>
  <si>
    <t xml:space="preserve">Related Risk IDs</t>
  </si>
  <si>
    <t xml:space="preserve">Compute, storage and networking for all production services</t>
  </si>
  <si>
    <t xml:space="preserve">Cardholder data, PII, logs</t>
  </si>
  <si>
    <t xml:space="preserve">TPR-001, TPR-002, TPR-013</t>
  </si>
  <si>
    <t xml:space="preserve">BIN sponsorship, settlement account, regulatory cover for issuing</t>
  </si>
  <si>
    <t xml:space="preserve">Settlement and merchant data</t>
  </si>
  <si>
    <t xml:space="preserve">Authorization routing to card networks</t>
  </si>
  <si>
    <t xml:space="preserve">Full PAN, transaction data</t>
  </si>
  <si>
    <t xml:space="preserve">TPR-004, TPR-005</t>
  </si>
  <si>
    <t xml:space="preserve">Virtual card issuing and lifecycle management</t>
  </si>
  <si>
    <t xml:space="preserve">Full PAN, cardholder PII</t>
  </si>
  <si>
    <t xml:space="preserve">Merchant and cardholder identity verification</t>
  </si>
  <si>
    <t xml:space="preserve">Government ID images, PII</t>
  </si>
  <si>
    <t xml:space="preserve">TPR-007, TPR-008</t>
  </si>
  <si>
    <t xml:space="preserve">Suspicious activity detection and case management</t>
  </si>
  <si>
    <t xml:space="preserve">Transaction data, PII</t>
  </si>
  <si>
    <t xml:space="preserve">Real-time transaction risk scoring</t>
  </si>
  <si>
    <t xml:space="preserve">Transaction data, device signals</t>
  </si>
  <si>
    <t xml:space="preserve">TPR-010, TPR-011</t>
  </si>
  <si>
    <t xml:space="preserve">Daily reconciliation and merchant settlement calculation</t>
  </si>
  <si>
    <t xml:space="preserve">Transaction and financial data</t>
  </si>
  <si>
    <t xml:space="preserve">Workforce authentication and single sign-on</t>
  </si>
  <si>
    <t xml:space="preserve">Employee credentials</t>
  </si>
  <si>
    <t xml:space="preserve">One-time passcode delivery for portal authentication</t>
  </si>
  <si>
    <t xml:space="preserve">Phone numbers, auth events</t>
  </si>
  <si>
    <t xml:space="preserve">Analytics and business intelligence</t>
  </si>
  <si>
    <t xml:space="preserve">Transaction data, tokenized PAN</t>
  </si>
  <si>
    <t xml:space="preserve">Customer and merchant support case management</t>
  </si>
  <si>
    <t xml:space="preserve">PII, incidental cardholder data</t>
  </si>
  <si>
    <t xml:space="preserve">Chargeback intake and representment</t>
  </si>
  <si>
    <t xml:space="preserve">Transaction data, merchant PII</t>
  </si>
  <si>
    <t xml:space="preserve">TPR-018, TPR-019</t>
  </si>
  <si>
    <t xml:space="preserve">Code hosting, build and deployment pipeline</t>
  </si>
  <si>
    <t xml:space="preserve">Source code, deployment secrets</t>
  </si>
  <si>
    <t xml:space="preserve">24x7 security monitoring and triage</t>
  </si>
  <si>
    <t xml:space="preserve">Security telemetry</t>
  </si>
  <si>
    <t xml:space="preserve">Annual application and network testing</t>
  </si>
  <si>
    <t xml:space="preserve">Findings, architecture, test credentials</t>
  </si>
  <si>
    <t xml:space="preserve">Long-tail SaaS (approx. 80 apps)</t>
  </si>
  <si>
    <t xml:space="preserve">Marketing, e-signature, expense, collaboration</t>
  </si>
  <si>
    <t xml:space="preserve">Varies; largely unassessed</t>
  </si>
  <si>
    <t xml:space="preserve">Kestrel Pay Inc. - Third-Party Risk Treatment Plan</t>
  </si>
  <si>
    <t xml:space="preserve">Sequenced over 12 months from 2026-08-01. Waves are ordered by a combination of residual exposure, cost to remediate and dependency.</t>
  </si>
  <si>
    <t xml:space="preserve">Action ID</t>
  </si>
  <si>
    <t xml:space="preserve">Wave</t>
  </si>
  <si>
    <t xml:space="preserve">Linked Risk</t>
  </si>
  <si>
    <t xml:space="preserve">Action</t>
  </si>
  <si>
    <t xml:space="preserve">Owner (Role)</t>
  </si>
  <si>
    <t xml:space="preserve">Priority</t>
  </si>
  <si>
    <t xml:space="preserve">Effort</t>
  </si>
  <si>
    <t xml:space="preserve">Due</t>
  </si>
  <si>
    <t xml:space="preserve">Dependency</t>
  </si>
  <si>
    <t xml:space="preserve">Evidence of Completion</t>
  </si>
  <si>
    <t xml:space="preserve">Residual Now</t>
  </si>
  <si>
    <t xml:space="preserve">Target Residual</t>
  </si>
  <si>
    <t xml:space="preserve">Score Reduction</t>
  </si>
  <si>
    <t xml:space="preserve">ACT-01</t>
  </si>
  <si>
    <t xml:space="preserve">1 (0-90 days)</t>
  </si>
  <si>
    <t xml:space="preserve">Stand up an annual reassessment cycle for all 22 critical vendors. Define the tiering standard, build the review calendar, and collect current SOC 2 Type II reports plus reviewed bridge letters.</t>
  </si>
  <si>
    <t xml:space="preserve">ACT-02 (inventory must exist first)</t>
  </si>
  <si>
    <t xml:space="preserve">22 of 22 critical vendors hold an assurance report dated within 12 months, recorded in the vendor inventory with reviewer initials.</t>
  </si>
  <si>
    <t xml:space="preserve">Not started</t>
  </si>
  <si>
    <t xml:space="preserve">ACT-02</t>
  </si>
  <si>
    <t xml:space="preserve">TPR-023, TPR-022</t>
  </si>
  <si>
    <t xml:space="preserve">Replace the Finance-maintained spreadsheet with a single vendor system of record capturing tier, data classification, DPA status, assurance report date and last review date.</t>
  </si>
  <si>
    <t xml:space="preserve">None</t>
  </si>
  <si>
    <t xml:space="preserve">Inventory live, populated for all Tier 1 and Tier 2 vendors, with an owner named per record.</t>
  </si>
  <si>
    <t xml:space="preserve">ACT-03</t>
  </si>
  <si>
    <t xml:space="preserve">Obtain written deletion attestation from the KYC provider covering identity document images, and add a recurring quarterly evidence obligation at the next contract renewal.</t>
  </si>
  <si>
    <t xml:space="preserve">2026-09-15</t>
  </si>
  <si>
    <t xml:space="preserve">Signed attestation on file confirming deletion at 90 days, plus a sampled verification report.</t>
  </si>
  <si>
    <t xml:space="preserve">ACT-04</t>
  </si>
  <si>
    <t xml:space="preserve">Execute a full end-to-end failover of the card authorization path to us-east-1 during a live low-volume window, not a tabletop.</t>
  </si>
  <si>
    <t xml:space="preserve">Change advisory approval</t>
  </si>
  <si>
    <t xml:space="preserve">Test report evidencing authorization success rate above 99% in the secondary region and measured RTO within 4 hours.</t>
  </si>
  <si>
    <t xml:space="preserve">ACT-05</t>
  </si>
  <si>
    <t xml:space="preserve">Technically enforce VDI-only access for the dispute BPO and geo-fence merchant portal sessions to the delivery countries named in the DPA.</t>
  </si>
  <si>
    <t xml:space="preserve">IdP conditional access policy</t>
  </si>
  <si>
    <t xml:space="preserve">Access logs show zero direct portal sessions from BPO users outside VDI over a 30-day window.</t>
  </si>
  <si>
    <t xml:space="preserve">ACT-06</t>
  </si>
  <si>
    <t xml:space="preserve">Enumerate shadow SaaS by cross-referencing corporate card spend against SSO and egress logs. Classify each application, then onboard, consolidate or terminate.</t>
  </si>
  <si>
    <t xml:space="preserve">Discovery report closed out with a disposition recorded for every application handling customer data.</t>
  </si>
  <si>
    <t xml:space="preserve">ACT-07</t>
  </si>
  <si>
    <t xml:space="preserve">2 (90-180 days)</t>
  </si>
  <si>
    <t xml:space="preserve">Remediate contracts for the 9 critical vendors missing breach notification timelines, audit rights or subcontractor consent clauses. Use the 2025 standard MSA addendum.</t>
  </si>
  <si>
    <t xml:space="preserve">Legal capacity; vendor negotiation</t>
  </si>
  <si>
    <t xml:space="preserve">9 of 9 executed addenda on file, mapped to the flow-down obligations in the sponsor bank agreement.</t>
  </si>
  <si>
    <t xml:space="preserve">ACT-08</t>
  </si>
  <si>
    <t xml:space="preserve">Complete fourth-party dependency mapping for all eight Tier 1 vendors, identifying shared cloud providers, regions and common sub-processors.</t>
  </si>
  <si>
    <t xml:space="preserve">ACT-01 (uses the same evidence request)</t>
  </si>
  <si>
    <t xml:space="preserve">Dependency map published, with correlated failure scenarios added to the DR test plan.</t>
  </si>
  <si>
    <t xml:space="preserve">ACT-09</t>
  </si>
  <si>
    <t xml:space="preserve">Extend MDR scope to the cloud control plane and SaaS audit logs, or build equivalent in-house detection coverage if the vendor cannot price it acceptably.</t>
  </si>
  <si>
    <t xml:space="preserve">Budget approval</t>
  </si>
  <si>
    <t xml:space="preserve">Detection coverage matrix shows monitored status for CloudTrail, IdP and warehouse audit logs with tested alerting.</t>
  </si>
  <si>
    <t xml:space="preserve">ACT-10</t>
  </si>
  <si>
    <t xml:space="preserve">Run column-level data discovery across the warehouse and confirm PCI scope. Remediate any unmasked PAN-adjacent fields at the pipeline rather than the destination.</t>
  </si>
  <si>
    <t xml:space="preserve">Data engineering capacity</t>
  </si>
  <si>
    <t xml:space="preserve">Discovery scan returns zero clear-text PAN-adjacent columns; scope decision documented and signed by the QSA.</t>
  </si>
  <si>
    <t xml:space="preserve">ACT-11</t>
  </si>
  <si>
    <t xml:space="preserve">Complete a cross-border transfer assessment for the us-east-1 failover path and document the customer notification and consent position.</t>
  </si>
  <si>
    <t xml:space="preserve">ACT-04 (test defines the real data flow)</t>
  </si>
  <si>
    <t xml:space="preserve">Transfer assessment approved by Legal and referenced in the public privacy notice.</t>
  </si>
  <si>
    <t xml:space="preserve">ACT-12</t>
  </si>
  <si>
    <t xml:space="preserve">3 (180-365 days)</t>
  </si>
  <si>
    <t xml:space="preserve">Secure a second sponsor bank relationship, or at minimum a signed letter of intent providing a contingency path for the issuing programme.</t>
  </si>
  <si>
    <t xml:space="preserve">Board approval; diligence by the counterparty</t>
  </si>
  <si>
    <t xml:space="preserve">Executed agreement or LOI in place, with a documented migration plan and estimated cutover duration.</t>
  </si>
  <si>
    <t xml:space="preserve">ACT-13</t>
  </si>
  <si>
    <t xml:space="preserve">Scope and cost a secondary gateway integration. Present a build-versus-accept decision with the modelled outage cost from ACT-14.</t>
  </si>
  <si>
    <t xml:space="preserve">2027-05-31</t>
  </si>
  <si>
    <t xml:space="preserve">ACT-14</t>
  </si>
  <si>
    <t xml:space="preserve">Decision paper approved at the Risk Committee, with either a funded roadmap item or a formal acceptance record.</t>
  </si>
  <si>
    <t xml:space="preserve">Renegotiate the SLA remedy at renewal and, in parallel, price contingent business interruption cover as an alternative transfer mechanism.</t>
  </si>
  <si>
    <t xml:space="preserve">Renewal window opens 2027-02</t>
  </si>
  <si>
    <t xml:space="preserve">Either an improved remedy clause or a bound insurance policy, with the residual uninsured exposure quantified.</t>
  </si>
  <si>
    <t xml:space="preserve">ACT-15</t>
  </si>
  <si>
    <t xml:space="preserve">Migrate merchant portal authentication off SMS one-time passcodes to phishing-resistant factors, retaining SMS only as a fallback for a defined merchant segment.</t>
  </si>
  <si>
    <t xml:space="preserve">Merchant communications plan</t>
  </si>
  <si>
    <t xml:space="preserve">Above 90% of merchant accounts enrolled on a phishing-resistant factor; fallback population documented and risk-accepted.</t>
  </si>
  <si>
    <t xml:space="preserve">ACT-16</t>
  </si>
  <si>
    <t xml:space="preserve">Record a formal risk acceptance for the BPO continuity gap, with a stated expiry date, an accountable executive signature and a scheduled 12-month review.</t>
  </si>
  <si>
    <t xml:space="preserve">Signed acceptance record filed against TPR-019 with an expiry date of 2027-12-31.</t>
  </si>
  <si>
    <t xml:space="preserve">Totals</t>
  </si>
  <si>
    <t xml:space="preserve">Critical-priority actions</t>
  </si>
  <si>
    <t xml:space="preserve">Notes</t>
  </si>
  <si>
    <t xml:space="preserve">Target Residual is the projected score once the action is complete and evidenced. It is an estimate, not a commitment.</t>
  </si>
  <si>
    <t xml:space="preserve">ACT-12 does not reduce TPR-003 to Low. A second sponsor reduces likelihood of an unmanaged exit but the impact of losing a sponsor remains severe.</t>
  </si>
  <si>
    <t xml:space="preserve">ACT-16 shows no score reduction by design. Formal acceptance does not change exposure, it changes accountability for it.</t>
  </si>
  <si>
    <t xml:space="preserve">Effort is relative (Low under 2 weeks, Medium 2 to 8 weeks, High above 8 weeks or requiring budget approval). No costing has been performed.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</si>
</sst>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A9D08E"/>
        <bgColor rgb="FFBFBFBF"/>
      </patternFill>
    </fill>
    <fill>
      <patternFill patternType="solid">
        <fgColor rgb="FFFFD966"/>
        <bgColor rgb="FFFFFF99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ED7D31"/>
        </patternFill>
      </fill>
    </dxf>
    <dxf>
      <font>
        <name val="Arial"/>
        <charset val="1"/>
        <family val="0"/>
        <sz val="10"/>
      </font>
      <fill>
        <patternFill>
          <bgColor rgb="FFFFD966"/>
        </patternFill>
      </fill>
    </dxf>
    <dxf>
      <font>
        <name val="Arial"/>
        <charset val="1"/>
        <family val="0"/>
        <sz val="10"/>
      </font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58"/>
    <col collapsed="false" customWidth="true" hidden="false" outlineLevel="0" max="12" min="11" style="0" width="7"/>
    <col collapsed="false" customWidth="true" hidden="false" outlineLevel="0" max="13" min="13" style="0" width="9"/>
    <col collapsed="false" customWidth="true" hidden="false" outlineLevel="0" max="15" min="14" style="0" width="11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61.5" hidden="false" customHeight="true" outlineLevel="0" collapsed="false">
      <c r="A5" s="4" t="s">
        <v>23</v>
      </c>
      <c r="B5" s="5" t="s">
        <v>24</v>
      </c>
      <c r="C5" s="4" t="s">
        <v>25</v>
      </c>
      <c r="D5" s="5" t="s">
        <v>26</v>
      </c>
      <c r="E5" s="5" t="s">
        <v>27</v>
      </c>
      <c r="F5" s="4" t="n">
        <v>4</v>
      </c>
      <c r="G5" s="4" t="n">
        <v>5</v>
      </c>
      <c r="H5" s="4" t="n">
        <f aca="false">F5*G5</f>
        <v>20</v>
      </c>
      <c r="I5" s="4" t="str">
        <f aca="false">IF(H5&lt;=6,"Low",IF(H5&lt;=12,"Medium",IF(H5&lt;=16,"High","Critical")))</f>
        <v>Critical</v>
      </c>
      <c r="J5" s="5" t="s">
        <v>28</v>
      </c>
      <c r="K5" s="4" t="n">
        <v>3</v>
      </c>
      <c r="L5" s="4" t="n">
        <v>4</v>
      </c>
      <c r="M5" s="4" t="n">
        <f aca="false">K5*L5</f>
        <v>12</v>
      </c>
      <c r="N5" s="4" t="str">
        <f aca="false">IF(M5&lt;=6,"Low",IF(M5&lt;=12,"Medium",IF(M5&lt;=16,"High","Critical")))</f>
        <v>Medium</v>
      </c>
      <c r="O5" s="4" t="s">
        <v>29</v>
      </c>
      <c r="P5" s="5" t="s">
        <v>30</v>
      </c>
      <c r="Q5" s="4" t="s">
        <v>31</v>
      </c>
      <c r="R5" s="4" t="s">
        <v>32</v>
      </c>
      <c r="S5" s="4" t="s">
        <v>33</v>
      </c>
      <c r="T5" s="5" t="s">
        <v>34</v>
      </c>
      <c r="U5" s="5" t="s">
        <v>35</v>
      </c>
    </row>
    <row r="6" customFormat="false" ht="61.5" hidden="false" customHeight="true" outlineLevel="0" collapsed="false">
      <c r="A6" s="4" t="s">
        <v>36</v>
      </c>
      <c r="B6" s="5" t="s">
        <v>24</v>
      </c>
      <c r="C6" s="4" t="s">
        <v>25</v>
      </c>
      <c r="D6" s="5" t="s">
        <v>37</v>
      </c>
      <c r="E6" s="5" t="s">
        <v>38</v>
      </c>
      <c r="F6" s="4" t="n">
        <v>3</v>
      </c>
      <c r="G6" s="4" t="n">
        <v>4</v>
      </c>
      <c r="H6" s="4" t="n">
        <f aca="false">F6*G6</f>
        <v>12</v>
      </c>
      <c r="I6" s="4" t="str">
        <f aca="false">IF(H6&lt;=6,"Low",IF(H6&lt;=12,"Medium",IF(H6&lt;=16,"High","Critical")))</f>
        <v>Medium</v>
      </c>
      <c r="J6" s="5" t="s">
        <v>39</v>
      </c>
      <c r="K6" s="4" t="n">
        <v>2</v>
      </c>
      <c r="L6" s="4" t="n">
        <v>4</v>
      </c>
      <c r="M6" s="4" t="n">
        <f aca="false">K6*L6</f>
        <v>8</v>
      </c>
      <c r="N6" s="4" t="str">
        <f aca="false">IF(M6&lt;=6,"Low",IF(M6&lt;=12,"Medium",IF(M6&lt;=16,"High","Critical")))</f>
        <v>Medium</v>
      </c>
      <c r="O6" s="4" t="s">
        <v>29</v>
      </c>
      <c r="P6" s="5" t="s">
        <v>40</v>
      </c>
      <c r="Q6" s="4" t="s">
        <v>41</v>
      </c>
      <c r="R6" s="4" t="s">
        <v>42</v>
      </c>
      <c r="S6" s="4" t="s">
        <v>33</v>
      </c>
      <c r="T6" s="5" t="s">
        <v>43</v>
      </c>
      <c r="U6" s="5" t="s">
        <v>44</v>
      </c>
    </row>
    <row r="7" customFormat="false" ht="61.5" hidden="false" customHeight="true" outlineLevel="0" collapsed="false">
      <c r="A7" s="4" t="s">
        <v>45</v>
      </c>
      <c r="B7" s="5" t="s">
        <v>46</v>
      </c>
      <c r="C7" s="4" t="s">
        <v>25</v>
      </c>
      <c r="D7" s="5" t="s">
        <v>47</v>
      </c>
      <c r="E7" s="5" t="s">
        <v>48</v>
      </c>
      <c r="F7" s="4" t="n">
        <v>3</v>
      </c>
      <c r="G7" s="4" t="n">
        <v>5</v>
      </c>
      <c r="H7" s="4" t="n">
        <f aca="false">F7*G7</f>
        <v>15</v>
      </c>
      <c r="I7" s="4" t="str">
        <f aca="false">IF(H7&lt;=6,"Low",IF(H7&lt;=12,"Medium",IF(H7&lt;=16,"High","Critical")))</f>
        <v>High</v>
      </c>
      <c r="J7" s="5" t="s">
        <v>49</v>
      </c>
      <c r="K7" s="4" t="n">
        <v>3</v>
      </c>
      <c r="L7" s="4" t="n">
        <v>5</v>
      </c>
      <c r="M7" s="4" t="n">
        <f aca="false">K7*L7</f>
        <v>15</v>
      </c>
      <c r="N7" s="4" t="str">
        <f aca="false">IF(M7&lt;=6,"Low",IF(M7&lt;=12,"Medium",IF(M7&lt;=16,"High","Critical")))</f>
        <v>High</v>
      </c>
      <c r="O7" s="4" t="s">
        <v>29</v>
      </c>
      <c r="P7" s="5" t="s">
        <v>50</v>
      </c>
      <c r="Q7" s="4" t="s">
        <v>51</v>
      </c>
      <c r="R7" s="4" t="s">
        <v>32</v>
      </c>
      <c r="S7" s="4" t="s">
        <v>33</v>
      </c>
      <c r="T7" s="5" t="s">
        <v>52</v>
      </c>
      <c r="U7" s="5" t="s">
        <v>53</v>
      </c>
    </row>
    <row r="8" customFormat="false" ht="61.5" hidden="false" customHeight="true" outlineLevel="0" collapsed="false">
      <c r="A8" s="4" t="s">
        <v>54</v>
      </c>
      <c r="B8" s="5" t="s">
        <v>55</v>
      </c>
      <c r="C8" s="4" t="s">
        <v>25</v>
      </c>
      <c r="D8" s="5" t="s">
        <v>26</v>
      </c>
      <c r="E8" s="5" t="s">
        <v>56</v>
      </c>
      <c r="F8" s="4" t="n">
        <v>3</v>
      </c>
      <c r="G8" s="4" t="n">
        <v>5</v>
      </c>
      <c r="H8" s="4" t="n">
        <f aca="false">F8*G8</f>
        <v>15</v>
      </c>
      <c r="I8" s="4" t="str">
        <f aca="false">IF(H8&lt;=6,"Low",IF(H8&lt;=12,"Medium",IF(H8&lt;=16,"High","Critical")))</f>
        <v>High</v>
      </c>
      <c r="J8" s="5" t="s">
        <v>57</v>
      </c>
      <c r="K8" s="4" t="n">
        <v>3</v>
      </c>
      <c r="L8" s="4" t="n">
        <v>4</v>
      </c>
      <c r="M8" s="4" t="n">
        <f aca="false">K8*L8</f>
        <v>12</v>
      </c>
      <c r="N8" s="4" t="str">
        <f aca="false">IF(M8&lt;=6,"Low",IF(M8&lt;=12,"Medium",IF(M8&lt;=16,"High","Critical")))</f>
        <v>Medium</v>
      </c>
      <c r="O8" s="4" t="s">
        <v>29</v>
      </c>
      <c r="P8" s="5" t="s">
        <v>30</v>
      </c>
      <c r="Q8" s="4" t="s">
        <v>58</v>
      </c>
      <c r="R8" s="4" t="s">
        <v>59</v>
      </c>
      <c r="S8" s="4" t="s">
        <v>33</v>
      </c>
      <c r="T8" s="5" t="s">
        <v>34</v>
      </c>
      <c r="U8" s="5" t="s">
        <v>60</v>
      </c>
    </row>
    <row r="9" customFormat="false" ht="61.5" hidden="false" customHeight="true" outlineLevel="0" collapsed="false">
      <c r="A9" s="4" t="s">
        <v>61</v>
      </c>
      <c r="B9" s="5" t="s">
        <v>55</v>
      </c>
      <c r="C9" s="4" t="s">
        <v>25</v>
      </c>
      <c r="D9" s="5" t="s">
        <v>62</v>
      </c>
      <c r="E9" s="5" t="s">
        <v>63</v>
      </c>
      <c r="F9" s="4" t="n">
        <v>4</v>
      </c>
      <c r="G9" s="4" t="n">
        <v>3</v>
      </c>
      <c r="H9" s="4" t="n">
        <f aca="false">F9*G9</f>
        <v>12</v>
      </c>
      <c r="I9" s="4" t="str">
        <f aca="false">IF(H9&lt;=6,"Low",IF(H9&lt;=12,"Medium",IF(H9&lt;=16,"High","Critical")))</f>
        <v>Medium</v>
      </c>
      <c r="J9" s="5" t="s">
        <v>64</v>
      </c>
      <c r="K9" s="4" t="n">
        <v>4</v>
      </c>
      <c r="L9" s="4" t="n">
        <v>3</v>
      </c>
      <c r="M9" s="4" t="n">
        <f aca="false">K9*L9</f>
        <v>12</v>
      </c>
      <c r="N9" s="4" t="str">
        <f aca="false">IF(M9&lt;=6,"Low",IF(M9&lt;=12,"Medium",IF(M9&lt;=16,"High","Critical")))</f>
        <v>Medium</v>
      </c>
      <c r="O9" s="4" t="s">
        <v>29</v>
      </c>
      <c r="P9" s="5" t="s">
        <v>65</v>
      </c>
      <c r="Q9" s="4" t="s">
        <v>66</v>
      </c>
      <c r="R9" s="4" t="s">
        <v>42</v>
      </c>
      <c r="S9" s="4" t="s">
        <v>33</v>
      </c>
      <c r="T9" s="5" t="s">
        <v>67</v>
      </c>
      <c r="U9" s="5" t="s">
        <v>68</v>
      </c>
    </row>
    <row r="10" customFormat="false" ht="61.5" hidden="false" customHeight="true" outlineLevel="0" collapsed="false">
      <c r="A10" s="4" t="s">
        <v>69</v>
      </c>
      <c r="B10" s="5" t="s">
        <v>70</v>
      </c>
      <c r="C10" s="4" t="s">
        <v>25</v>
      </c>
      <c r="D10" s="5" t="s">
        <v>71</v>
      </c>
      <c r="E10" s="5" t="s">
        <v>72</v>
      </c>
      <c r="F10" s="4" t="n">
        <v>3</v>
      </c>
      <c r="G10" s="4" t="n">
        <v>5</v>
      </c>
      <c r="H10" s="4" t="n">
        <f aca="false">F10*G10</f>
        <v>15</v>
      </c>
      <c r="I10" s="4" t="str">
        <f aca="false">IF(H10&lt;=6,"Low",IF(H10&lt;=12,"Medium",IF(H10&lt;=16,"High","Critical")))</f>
        <v>High</v>
      </c>
      <c r="J10" s="5" t="s">
        <v>73</v>
      </c>
      <c r="K10" s="4" t="n">
        <v>2</v>
      </c>
      <c r="L10" s="4" t="n">
        <v>5</v>
      </c>
      <c r="M10" s="4" t="n">
        <f aca="false">K10*L10</f>
        <v>10</v>
      </c>
      <c r="N10" s="4" t="str">
        <f aca="false">IF(M10&lt;=6,"Low",IF(M10&lt;=12,"Medium",IF(M10&lt;=16,"High","Critical")))</f>
        <v>Medium</v>
      </c>
      <c r="O10" s="4" t="s">
        <v>29</v>
      </c>
      <c r="P10" s="5" t="s">
        <v>74</v>
      </c>
      <c r="Q10" s="4" t="s">
        <v>75</v>
      </c>
      <c r="R10" s="4" t="s">
        <v>76</v>
      </c>
      <c r="S10" s="4" t="s">
        <v>33</v>
      </c>
      <c r="T10" s="5" t="s">
        <v>77</v>
      </c>
      <c r="U10" s="5" t="s">
        <v>78</v>
      </c>
    </row>
    <row r="11" customFormat="false" ht="61.5" hidden="false" customHeight="true" outlineLevel="0" collapsed="false">
      <c r="A11" s="4" t="s">
        <v>79</v>
      </c>
      <c r="B11" s="5" t="s">
        <v>80</v>
      </c>
      <c r="C11" s="4" t="s">
        <v>25</v>
      </c>
      <c r="D11" s="5" t="s">
        <v>81</v>
      </c>
      <c r="E11" s="5" t="s">
        <v>82</v>
      </c>
      <c r="F11" s="4" t="n">
        <v>3</v>
      </c>
      <c r="G11" s="4" t="n">
        <v>5</v>
      </c>
      <c r="H11" s="4" t="n">
        <f aca="false">F11*G11</f>
        <v>15</v>
      </c>
      <c r="I11" s="4" t="str">
        <f aca="false">IF(H11&lt;=6,"Low",IF(H11&lt;=12,"Medium",IF(H11&lt;=16,"High","Critical")))</f>
        <v>High</v>
      </c>
      <c r="J11" s="5" t="s">
        <v>83</v>
      </c>
      <c r="K11" s="4" t="n">
        <v>2</v>
      </c>
      <c r="L11" s="4" t="n">
        <v>5</v>
      </c>
      <c r="M11" s="4" t="n">
        <f aca="false">K11*L11</f>
        <v>10</v>
      </c>
      <c r="N11" s="4" t="str">
        <f aca="false">IF(M11&lt;=6,"Low",IF(M11&lt;=12,"Medium",IF(M11&lt;=16,"High","Critical")))</f>
        <v>Medium</v>
      </c>
      <c r="O11" s="4" t="s">
        <v>29</v>
      </c>
      <c r="P11" s="5" t="s">
        <v>84</v>
      </c>
      <c r="Q11" s="4" t="s">
        <v>85</v>
      </c>
      <c r="R11" s="4" t="s">
        <v>59</v>
      </c>
      <c r="S11" s="4" t="s">
        <v>33</v>
      </c>
      <c r="T11" s="5" t="s">
        <v>86</v>
      </c>
      <c r="U11" s="5" t="s">
        <v>87</v>
      </c>
    </row>
    <row r="12" customFormat="false" ht="61.5" hidden="false" customHeight="true" outlineLevel="0" collapsed="false">
      <c r="A12" s="4" t="s">
        <v>88</v>
      </c>
      <c r="B12" s="5" t="s">
        <v>80</v>
      </c>
      <c r="C12" s="4" t="s">
        <v>25</v>
      </c>
      <c r="D12" s="5" t="s">
        <v>89</v>
      </c>
      <c r="E12" s="5" t="s">
        <v>90</v>
      </c>
      <c r="F12" s="4" t="n">
        <v>3</v>
      </c>
      <c r="G12" s="4" t="n">
        <v>5</v>
      </c>
      <c r="H12" s="4" t="n">
        <f aca="false">F12*G12</f>
        <v>15</v>
      </c>
      <c r="I12" s="4" t="str">
        <f aca="false">IF(H12&lt;=6,"Low",IF(H12&lt;=12,"Medium",IF(H12&lt;=16,"High","Critical")))</f>
        <v>High</v>
      </c>
      <c r="J12" s="5" t="s">
        <v>91</v>
      </c>
      <c r="K12" s="4" t="n">
        <v>3</v>
      </c>
      <c r="L12" s="4" t="n">
        <v>5</v>
      </c>
      <c r="M12" s="4" t="n">
        <f aca="false">K12*L12</f>
        <v>15</v>
      </c>
      <c r="N12" s="4" t="str">
        <f aca="false">IF(M12&lt;=6,"Low",IF(M12&lt;=12,"Medium",IF(M12&lt;=16,"High","Critical")))</f>
        <v>High</v>
      </c>
      <c r="O12" s="4" t="s">
        <v>29</v>
      </c>
      <c r="P12" s="5" t="s">
        <v>40</v>
      </c>
      <c r="Q12" s="4" t="s">
        <v>92</v>
      </c>
      <c r="R12" s="4" t="s">
        <v>42</v>
      </c>
      <c r="S12" s="4" t="s">
        <v>33</v>
      </c>
      <c r="T12" s="5" t="s">
        <v>93</v>
      </c>
      <c r="U12" s="5" t="s">
        <v>94</v>
      </c>
    </row>
    <row r="13" customFormat="false" ht="61.5" hidden="false" customHeight="true" outlineLevel="0" collapsed="false">
      <c r="A13" s="4" t="s">
        <v>95</v>
      </c>
      <c r="B13" s="5" t="s">
        <v>96</v>
      </c>
      <c r="C13" s="4" t="s">
        <v>25</v>
      </c>
      <c r="D13" s="5" t="s">
        <v>81</v>
      </c>
      <c r="E13" s="5" t="s">
        <v>97</v>
      </c>
      <c r="F13" s="4" t="n">
        <v>3</v>
      </c>
      <c r="G13" s="4" t="n">
        <v>4</v>
      </c>
      <c r="H13" s="4" t="n">
        <f aca="false">F13*G13</f>
        <v>12</v>
      </c>
      <c r="I13" s="4" t="str">
        <f aca="false">IF(H13&lt;=6,"Low",IF(H13&lt;=12,"Medium",IF(H13&lt;=16,"High","Critical")))</f>
        <v>Medium</v>
      </c>
      <c r="J13" s="5" t="s">
        <v>98</v>
      </c>
      <c r="K13" s="4" t="n">
        <v>2</v>
      </c>
      <c r="L13" s="4" t="n">
        <v>4</v>
      </c>
      <c r="M13" s="4" t="n">
        <f aca="false">K13*L13</f>
        <v>8</v>
      </c>
      <c r="N13" s="4" t="str">
        <f aca="false">IF(M13&lt;=6,"Low",IF(M13&lt;=12,"Medium",IF(M13&lt;=16,"High","Critical")))</f>
        <v>Medium</v>
      </c>
      <c r="O13" s="4" t="s">
        <v>29</v>
      </c>
      <c r="P13" s="5" t="s">
        <v>84</v>
      </c>
      <c r="Q13" s="4" t="s">
        <v>99</v>
      </c>
      <c r="R13" s="4" t="s">
        <v>32</v>
      </c>
      <c r="S13" s="4" t="s">
        <v>33</v>
      </c>
      <c r="T13" s="5" t="s">
        <v>100</v>
      </c>
      <c r="U13" s="5" t="s">
        <v>101</v>
      </c>
    </row>
    <row r="14" customFormat="false" ht="61.5" hidden="false" customHeight="true" outlineLevel="0" collapsed="false">
      <c r="A14" s="4" t="s">
        <v>102</v>
      </c>
      <c r="B14" s="5" t="s">
        <v>103</v>
      </c>
      <c r="C14" s="4" t="s">
        <v>25</v>
      </c>
      <c r="D14" s="5" t="s">
        <v>104</v>
      </c>
      <c r="E14" s="5" t="s">
        <v>105</v>
      </c>
      <c r="F14" s="4" t="n">
        <v>3</v>
      </c>
      <c r="G14" s="4" t="n">
        <v>4</v>
      </c>
      <c r="H14" s="4" t="n">
        <f aca="false">F14*G14</f>
        <v>12</v>
      </c>
      <c r="I14" s="4" t="str">
        <f aca="false">IF(H14&lt;=6,"Low",IF(H14&lt;=12,"Medium",IF(H14&lt;=16,"High","Critical")))</f>
        <v>Medium</v>
      </c>
      <c r="J14" s="5" t="s">
        <v>106</v>
      </c>
      <c r="K14" s="4" t="n">
        <v>2</v>
      </c>
      <c r="L14" s="4" t="n">
        <v>3</v>
      </c>
      <c r="M14" s="4" t="n">
        <f aca="false">K14*L14</f>
        <v>6</v>
      </c>
      <c r="N14" s="4" t="str">
        <f aca="false">IF(M14&lt;=6,"Low",IF(M14&lt;=12,"Medium",IF(M14&lt;=16,"High","Critical")))</f>
        <v>Low</v>
      </c>
      <c r="O14" s="4" t="s">
        <v>29</v>
      </c>
      <c r="P14" s="5" t="s">
        <v>30</v>
      </c>
      <c r="Q14" s="4" t="s">
        <v>107</v>
      </c>
      <c r="R14" s="4" t="s">
        <v>59</v>
      </c>
      <c r="S14" s="4" t="s">
        <v>33</v>
      </c>
      <c r="T14" s="5" t="s">
        <v>86</v>
      </c>
      <c r="U14" s="5" t="s">
        <v>108</v>
      </c>
    </row>
    <row r="15" customFormat="false" ht="61.5" hidden="false" customHeight="true" outlineLevel="0" collapsed="false">
      <c r="A15" s="4" t="s">
        <v>109</v>
      </c>
      <c r="B15" s="5" t="s">
        <v>103</v>
      </c>
      <c r="C15" s="4" t="s">
        <v>25</v>
      </c>
      <c r="D15" s="5" t="s">
        <v>110</v>
      </c>
      <c r="E15" s="5" t="s">
        <v>111</v>
      </c>
      <c r="F15" s="4" t="n">
        <v>3</v>
      </c>
      <c r="G15" s="4" t="n">
        <v>4</v>
      </c>
      <c r="H15" s="4" t="n">
        <f aca="false">F15*G15</f>
        <v>12</v>
      </c>
      <c r="I15" s="4" t="str">
        <f aca="false">IF(H15&lt;=6,"Low",IF(H15&lt;=12,"Medium",IF(H15&lt;=16,"High","Critical")))</f>
        <v>Medium</v>
      </c>
      <c r="J15" s="5" t="s">
        <v>112</v>
      </c>
      <c r="K15" s="4" t="n">
        <v>2</v>
      </c>
      <c r="L15" s="4" t="n">
        <v>3</v>
      </c>
      <c r="M15" s="4" t="n">
        <f aca="false">K15*L15</f>
        <v>6</v>
      </c>
      <c r="N15" s="4" t="str">
        <f aca="false">IF(M15&lt;=6,"Low",IF(M15&lt;=12,"Medium",IF(M15&lt;=16,"High","Critical")))</f>
        <v>Low</v>
      </c>
      <c r="O15" s="4" t="s">
        <v>29</v>
      </c>
      <c r="P15" s="5" t="s">
        <v>113</v>
      </c>
      <c r="Q15" s="4" t="s">
        <v>31</v>
      </c>
      <c r="R15" s="4" t="s">
        <v>59</v>
      </c>
      <c r="S15" s="4" t="s">
        <v>33</v>
      </c>
      <c r="T15" s="5" t="s">
        <v>100</v>
      </c>
      <c r="U15" s="5" t="s">
        <v>78</v>
      </c>
    </row>
    <row r="16" customFormat="false" ht="61.5" hidden="false" customHeight="true" outlineLevel="0" collapsed="false">
      <c r="A16" s="4" t="s">
        <v>114</v>
      </c>
      <c r="B16" s="5" t="s">
        <v>115</v>
      </c>
      <c r="C16" s="4" t="s">
        <v>25</v>
      </c>
      <c r="D16" s="5" t="s">
        <v>62</v>
      </c>
      <c r="E16" s="5" t="s">
        <v>116</v>
      </c>
      <c r="F16" s="4" t="n">
        <v>2</v>
      </c>
      <c r="G16" s="4" t="n">
        <v>4</v>
      </c>
      <c r="H16" s="4" t="n">
        <f aca="false">F16*G16</f>
        <v>8</v>
      </c>
      <c r="I16" s="4" t="str">
        <f aca="false">IF(H16&lt;=6,"Low",IF(H16&lt;=12,"Medium",IF(H16&lt;=16,"High","Critical")))</f>
        <v>Medium</v>
      </c>
      <c r="J16" s="5" t="s">
        <v>117</v>
      </c>
      <c r="K16" s="4" t="n">
        <v>2</v>
      </c>
      <c r="L16" s="4" t="n">
        <v>3</v>
      </c>
      <c r="M16" s="4" t="n">
        <f aca="false">K16*L16</f>
        <v>6</v>
      </c>
      <c r="N16" s="4" t="str">
        <f aca="false">IF(M16&lt;=6,"Low",IF(M16&lt;=12,"Medium",IF(M16&lt;=16,"High","Critical")))</f>
        <v>Low</v>
      </c>
      <c r="O16" s="4" t="s">
        <v>29</v>
      </c>
      <c r="P16" s="5" t="s">
        <v>118</v>
      </c>
      <c r="Q16" s="4" t="s">
        <v>58</v>
      </c>
      <c r="R16" s="4" t="s">
        <v>59</v>
      </c>
      <c r="S16" s="4" t="s">
        <v>33</v>
      </c>
      <c r="T16" s="5" t="s">
        <v>86</v>
      </c>
      <c r="U16" s="5" t="s">
        <v>108</v>
      </c>
    </row>
    <row r="17" customFormat="false" ht="61.5" hidden="false" customHeight="true" outlineLevel="0" collapsed="false">
      <c r="A17" s="4" t="s">
        <v>119</v>
      </c>
      <c r="B17" s="5" t="s">
        <v>120</v>
      </c>
      <c r="C17" s="4" t="s">
        <v>25</v>
      </c>
      <c r="D17" s="5" t="s">
        <v>121</v>
      </c>
      <c r="E17" s="5" t="s">
        <v>122</v>
      </c>
      <c r="F17" s="4" t="n">
        <v>2</v>
      </c>
      <c r="G17" s="4" t="n">
        <v>5</v>
      </c>
      <c r="H17" s="4" t="n">
        <f aca="false">F17*G17</f>
        <v>10</v>
      </c>
      <c r="I17" s="4" t="str">
        <f aca="false">IF(H17&lt;=6,"Low",IF(H17&lt;=12,"Medium",IF(H17&lt;=16,"High","Critical")))</f>
        <v>Medium</v>
      </c>
      <c r="J17" s="5" t="s">
        <v>123</v>
      </c>
      <c r="K17" s="4" t="n">
        <v>2</v>
      </c>
      <c r="L17" s="4" t="n">
        <v>5</v>
      </c>
      <c r="M17" s="4" t="n">
        <f aca="false">K17*L17</f>
        <v>10</v>
      </c>
      <c r="N17" s="4" t="str">
        <f aca="false">IF(M17&lt;=6,"Low",IF(M17&lt;=12,"Medium",IF(M17&lt;=16,"High","Critical")))</f>
        <v>Medium</v>
      </c>
      <c r="O17" s="4" t="s">
        <v>29</v>
      </c>
      <c r="P17" s="5" t="s">
        <v>74</v>
      </c>
      <c r="Q17" s="4" t="s">
        <v>66</v>
      </c>
      <c r="R17" s="4" t="s">
        <v>42</v>
      </c>
      <c r="S17" s="4" t="s">
        <v>33</v>
      </c>
      <c r="T17" s="5" t="s">
        <v>124</v>
      </c>
      <c r="U17" s="5" t="s">
        <v>125</v>
      </c>
    </row>
    <row r="18" customFormat="false" ht="61.5" hidden="false" customHeight="true" outlineLevel="0" collapsed="false">
      <c r="A18" s="4" t="s">
        <v>126</v>
      </c>
      <c r="B18" s="5" t="s">
        <v>127</v>
      </c>
      <c r="C18" s="4" t="s">
        <v>128</v>
      </c>
      <c r="D18" s="5" t="s">
        <v>71</v>
      </c>
      <c r="E18" s="5" t="s">
        <v>129</v>
      </c>
      <c r="F18" s="4" t="n">
        <v>2</v>
      </c>
      <c r="G18" s="4" t="n">
        <v>5</v>
      </c>
      <c r="H18" s="4" t="n">
        <f aca="false">F18*G18</f>
        <v>10</v>
      </c>
      <c r="I18" s="4" t="str">
        <f aca="false">IF(H18&lt;=6,"Low",IF(H18&lt;=12,"Medium",IF(H18&lt;=16,"High","Critical")))</f>
        <v>Medium</v>
      </c>
      <c r="J18" s="5" t="s">
        <v>130</v>
      </c>
      <c r="K18" s="4" t="n">
        <v>1</v>
      </c>
      <c r="L18" s="4" t="n">
        <v>5</v>
      </c>
      <c r="M18" s="4" t="n">
        <f aca="false">K18*L18</f>
        <v>5</v>
      </c>
      <c r="N18" s="4" t="str">
        <f aca="false">IF(M18&lt;=6,"Low",IF(M18&lt;=12,"Medium",IF(M18&lt;=16,"High","Critical")))</f>
        <v>Low</v>
      </c>
      <c r="O18" s="4" t="s">
        <v>29</v>
      </c>
      <c r="P18" s="5" t="s">
        <v>74</v>
      </c>
      <c r="Q18" s="4" t="s">
        <v>131</v>
      </c>
      <c r="R18" s="4" t="s">
        <v>32</v>
      </c>
      <c r="S18" s="4" t="s">
        <v>33</v>
      </c>
      <c r="T18" s="5" t="s">
        <v>132</v>
      </c>
      <c r="U18" s="5" t="s">
        <v>78</v>
      </c>
    </row>
    <row r="19" customFormat="false" ht="61.5" hidden="false" customHeight="true" outlineLevel="0" collapsed="false">
      <c r="A19" s="4" t="s">
        <v>133</v>
      </c>
      <c r="B19" s="5" t="s">
        <v>134</v>
      </c>
      <c r="C19" s="4" t="s">
        <v>128</v>
      </c>
      <c r="D19" s="5" t="s">
        <v>71</v>
      </c>
      <c r="E19" s="5" t="s">
        <v>135</v>
      </c>
      <c r="F19" s="4" t="n">
        <v>3</v>
      </c>
      <c r="G19" s="4" t="n">
        <v>4</v>
      </c>
      <c r="H19" s="4" t="n">
        <f aca="false">F19*G19</f>
        <v>12</v>
      </c>
      <c r="I19" s="4" t="str">
        <f aca="false">IF(H19&lt;=6,"Low",IF(H19&lt;=12,"Medium",IF(H19&lt;=16,"High","Critical")))</f>
        <v>Medium</v>
      </c>
      <c r="J19" s="5" t="s">
        <v>136</v>
      </c>
      <c r="K19" s="4" t="n">
        <v>2</v>
      </c>
      <c r="L19" s="4" t="n">
        <v>4</v>
      </c>
      <c r="M19" s="4" t="n">
        <f aca="false">K19*L19</f>
        <v>8</v>
      </c>
      <c r="N19" s="4" t="str">
        <f aca="false">IF(M19&lt;=6,"Low",IF(M19&lt;=12,"Medium",IF(M19&lt;=16,"High","Critical")))</f>
        <v>Medium</v>
      </c>
      <c r="O19" s="4" t="s">
        <v>29</v>
      </c>
      <c r="P19" s="5" t="s">
        <v>74</v>
      </c>
      <c r="Q19" s="4" t="s">
        <v>51</v>
      </c>
      <c r="R19" s="4" t="s">
        <v>76</v>
      </c>
      <c r="S19" s="4" t="s">
        <v>33</v>
      </c>
      <c r="T19" s="5" t="s">
        <v>137</v>
      </c>
      <c r="U19" s="5" t="s">
        <v>78</v>
      </c>
    </row>
    <row r="20" customFormat="false" ht="61.5" hidden="false" customHeight="true" outlineLevel="0" collapsed="false">
      <c r="A20" s="4" t="s">
        <v>138</v>
      </c>
      <c r="B20" s="5" t="s">
        <v>139</v>
      </c>
      <c r="C20" s="4" t="s">
        <v>128</v>
      </c>
      <c r="D20" s="5" t="s">
        <v>140</v>
      </c>
      <c r="E20" s="5" t="s">
        <v>141</v>
      </c>
      <c r="F20" s="4" t="n">
        <v>3</v>
      </c>
      <c r="G20" s="4" t="n">
        <v>4</v>
      </c>
      <c r="H20" s="4" t="n">
        <f aca="false">F20*G20</f>
        <v>12</v>
      </c>
      <c r="I20" s="4" t="str">
        <f aca="false">IF(H20&lt;=6,"Low",IF(H20&lt;=12,"Medium",IF(H20&lt;=16,"High","Critical")))</f>
        <v>Medium</v>
      </c>
      <c r="J20" s="5" t="s">
        <v>142</v>
      </c>
      <c r="K20" s="4" t="n">
        <v>2</v>
      </c>
      <c r="L20" s="4" t="n">
        <v>4</v>
      </c>
      <c r="M20" s="4" t="n">
        <f aca="false">K20*L20</f>
        <v>8</v>
      </c>
      <c r="N20" s="4" t="str">
        <f aca="false">IF(M20&lt;=6,"Low",IF(M20&lt;=12,"Medium",IF(M20&lt;=16,"High","Critical")))</f>
        <v>Medium</v>
      </c>
      <c r="O20" s="4" t="s">
        <v>29</v>
      </c>
      <c r="P20" s="5" t="s">
        <v>74</v>
      </c>
      <c r="Q20" s="4" t="s">
        <v>75</v>
      </c>
      <c r="R20" s="4" t="s">
        <v>32</v>
      </c>
      <c r="S20" s="4" t="s">
        <v>33</v>
      </c>
      <c r="T20" s="5" t="s">
        <v>143</v>
      </c>
      <c r="U20" s="5" t="s">
        <v>144</v>
      </c>
    </row>
    <row r="21" customFormat="false" ht="61.5" hidden="false" customHeight="true" outlineLevel="0" collapsed="false">
      <c r="A21" s="4" t="s">
        <v>145</v>
      </c>
      <c r="B21" s="5" t="s">
        <v>146</v>
      </c>
      <c r="C21" s="4" t="s">
        <v>128</v>
      </c>
      <c r="D21" s="5" t="s">
        <v>147</v>
      </c>
      <c r="E21" s="5" t="s">
        <v>148</v>
      </c>
      <c r="F21" s="4" t="n">
        <v>4</v>
      </c>
      <c r="G21" s="4" t="n">
        <v>3</v>
      </c>
      <c r="H21" s="4" t="n">
        <f aca="false">F21*G21</f>
        <v>12</v>
      </c>
      <c r="I21" s="4" t="str">
        <f aca="false">IF(H21&lt;=6,"Low",IF(H21&lt;=12,"Medium",IF(H21&lt;=16,"High","Critical")))</f>
        <v>Medium</v>
      </c>
      <c r="J21" s="5" t="s">
        <v>149</v>
      </c>
      <c r="K21" s="4" t="n">
        <v>2</v>
      </c>
      <c r="L21" s="4" t="n">
        <v>3</v>
      </c>
      <c r="M21" s="4" t="n">
        <f aca="false">K21*L21</f>
        <v>6</v>
      </c>
      <c r="N21" s="4" t="str">
        <f aca="false">IF(M21&lt;=6,"Low",IF(M21&lt;=12,"Medium",IF(M21&lt;=16,"High","Critical")))</f>
        <v>Low</v>
      </c>
      <c r="O21" s="4" t="s">
        <v>29</v>
      </c>
      <c r="P21" s="5" t="s">
        <v>150</v>
      </c>
      <c r="Q21" s="4" t="s">
        <v>107</v>
      </c>
      <c r="R21" s="4" t="s">
        <v>76</v>
      </c>
      <c r="S21" s="4" t="s">
        <v>33</v>
      </c>
      <c r="T21" s="5" t="s">
        <v>151</v>
      </c>
      <c r="U21" s="5" t="s">
        <v>152</v>
      </c>
    </row>
    <row r="22" customFormat="false" ht="61.5" hidden="false" customHeight="true" outlineLevel="0" collapsed="false">
      <c r="A22" s="4" t="s">
        <v>153</v>
      </c>
      <c r="B22" s="5" t="s">
        <v>154</v>
      </c>
      <c r="C22" s="4" t="s">
        <v>128</v>
      </c>
      <c r="D22" s="5" t="s">
        <v>71</v>
      </c>
      <c r="E22" s="5" t="s">
        <v>155</v>
      </c>
      <c r="F22" s="4" t="n">
        <v>3</v>
      </c>
      <c r="G22" s="4" t="n">
        <v>4</v>
      </c>
      <c r="H22" s="4" t="n">
        <f aca="false">F22*G22</f>
        <v>12</v>
      </c>
      <c r="I22" s="4" t="str">
        <f aca="false">IF(H22&lt;=6,"Low",IF(H22&lt;=12,"Medium",IF(H22&lt;=16,"High","Critical")))</f>
        <v>Medium</v>
      </c>
      <c r="J22" s="5" t="s">
        <v>156</v>
      </c>
      <c r="K22" s="4" t="n">
        <v>3</v>
      </c>
      <c r="L22" s="4" t="n">
        <v>4</v>
      </c>
      <c r="M22" s="4" t="n">
        <f aca="false">K22*L22</f>
        <v>12</v>
      </c>
      <c r="N22" s="4" t="str">
        <f aca="false">IF(M22&lt;=6,"Low",IF(M22&lt;=12,"Medium",IF(M22&lt;=16,"High","Critical")))</f>
        <v>Medium</v>
      </c>
      <c r="O22" s="4" t="s">
        <v>29</v>
      </c>
      <c r="P22" s="5" t="s">
        <v>150</v>
      </c>
      <c r="Q22" s="4" t="s">
        <v>58</v>
      </c>
      <c r="R22" s="4" t="s">
        <v>32</v>
      </c>
      <c r="S22" s="4" t="s">
        <v>33</v>
      </c>
      <c r="T22" s="5" t="s">
        <v>157</v>
      </c>
      <c r="U22" s="5" t="s">
        <v>158</v>
      </c>
    </row>
    <row r="23" customFormat="false" ht="61.5" hidden="false" customHeight="true" outlineLevel="0" collapsed="false">
      <c r="A23" s="4" t="s">
        <v>159</v>
      </c>
      <c r="B23" s="5" t="s">
        <v>154</v>
      </c>
      <c r="C23" s="4" t="s">
        <v>128</v>
      </c>
      <c r="D23" s="5" t="s">
        <v>104</v>
      </c>
      <c r="E23" s="5" t="s">
        <v>160</v>
      </c>
      <c r="F23" s="4" t="n">
        <v>2</v>
      </c>
      <c r="G23" s="4" t="n">
        <v>3</v>
      </c>
      <c r="H23" s="4" t="n">
        <f aca="false">F23*G23</f>
        <v>6</v>
      </c>
      <c r="I23" s="4" t="str">
        <f aca="false">IF(H23&lt;=6,"Low",IF(H23&lt;=12,"Medium",IF(H23&lt;=16,"High","Critical")))</f>
        <v>Low</v>
      </c>
      <c r="J23" s="5" t="s">
        <v>161</v>
      </c>
      <c r="K23" s="4" t="n">
        <v>2</v>
      </c>
      <c r="L23" s="4" t="n">
        <v>3</v>
      </c>
      <c r="M23" s="4" t="n">
        <f aca="false">K23*L23</f>
        <v>6</v>
      </c>
      <c r="N23" s="4" t="str">
        <f aca="false">IF(M23&lt;=6,"Low",IF(M23&lt;=12,"Medium",IF(M23&lt;=16,"High","Critical")))</f>
        <v>Low</v>
      </c>
      <c r="O23" s="4" t="s">
        <v>162</v>
      </c>
      <c r="P23" s="5" t="s">
        <v>150</v>
      </c>
      <c r="Q23" s="4" t="s">
        <v>163</v>
      </c>
      <c r="R23" s="4" t="s">
        <v>42</v>
      </c>
      <c r="S23" s="4" t="s">
        <v>164</v>
      </c>
      <c r="T23" s="5" t="s">
        <v>165</v>
      </c>
      <c r="U23" s="5" t="s">
        <v>166</v>
      </c>
    </row>
    <row r="24" customFormat="false" ht="61.5" hidden="false" customHeight="true" outlineLevel="0" collapsed="false">
      <c r="A24" s="4" t="s">
        <v>167</v>
      </c>
      <c r="B24" s="5" t="s">
        <v>168</v>
      </c>
      <c r="C24" s="4" t="s">
        <v>128</v>
      </c>
      <c r="D24" s="5" t="s">
        <v>71</v>
      </c>
      <c r="E24" s="5" t="s">
        <v>169</v>
      </c>
      <c r="F24" s="4" t="n">
        <v>2</v>
      </c>
      <c r="G24" s="4" t="n">
        <v>5</v>
      </c>
      <c r="H24" s="4" t="n">
        <f aca="false">F24*G24</f>
        <v>10</v>
      </c>
      <c r="I24" s="4" t="str">
        <f aca="false">IF(H24&lt;=6,"Low",IF(H24&lt;=12,"Medium",IF(H24&lt;=16,"High","Critical")))</f>
        <v>Medium</v>
      </c>
      <c r="J24" s="5" t="s">
        <v>170</v>
      </c>
      <c r="K24" s="4" t="n">
        <v>1</v>
      </c>
      <c r="L24" s="4" t="n">
        <v>5</v>
      </c>
      <c r="M24" s="4" t="n">
        <f aca="false">K24*L24</f>
        <v>5</v>
      </c>
      <c r="N24" s="4" t="str">
        <f aca="false">IF(M24&lt;=6,"Low",IF(M24&lt;=12,"Medium",IF(M24&lt;=16,"High","Critical")))</f>
        <v>Low</v>
      </c>
      <c r="O24" s="4" t="s">
        <v>29</v>
      </c>
      <c r="P24" s="5" t="s">
        <v>30</v>
      </c>
      <c r="Q24" s="4" t="s">
        <v>75</v>
      </c>
      <c r="R24" s="4" t="s">
        <v>32</v>
      </c>
      <c r="S24" s="4" t="s">
        <v>33</v>
      </c>
      <c r="T24" s="5" t="s">
        <v>171</v>
      </c>
      <c r="U24" s="5" t="s">
        <v>78</v>
      </c>
    </row>
    <row r="25" customFormat="false" ht="61.5" hidden="false" customHeight="true" outlineLevel="0" collapsed="false">
      <c r="A25" s="4" t="s">
        <v>172</v>
      </c>
      <c r="B25" s="5" t="s">
        <v>173</v>
      </c>
      <c r="C25" s="4" t="s">
        <v>128</v>
      </c>
      <c r="D25" s="5" t="s">
        <v>174</v>
      </c>
      <c r="E25" s="5" t="s">
        <v>175</v>
      </c>
      <c r="F25" s="4" t="n">
        <v>3</v>
      </c>
      <c r="G25" s="4" t="n">
        <v>4</v>
      </c>
      <c r="H25" s="4" t="n">
        <f aca="false">F25*G25</f>
        <v>12</v>
      </c>
      <c r="I25" s="4" t="str">
        <f aca="false">IF(H25&lt;=6,"Low",IF(H25&lt;=12,"Medium",IF(H25&lt;=16,"High","Critical")))</f>
        <v>Medium</v>
      </c>
      <c r="J25" s="5" t="s">
        <v>176</v>
      </c>
      <c r="K25" s="4" t="n">
        <v>3</v>
      </c>
      <c r="L25" s="4" t="n">
        <v>3</v>
      </c>
      <c r="M25" s="4" t="n">
        <f aca="false">K25*L25</f>
        <v>9</v>
      </c>
      <c r="N25" s="4" t="str">
        <f aca="false">IF(M25&lt;=6,"Low",IF(M25&lt;=12,"Medium",IF(M25&lt;=16,"High","Critical")))</f>
        <v>Medium</v>
      </c>
      <c r="O25" s="4" t="s">
        <v>29</v>
      </c>
      <c r="P25" s="5" t="s">
        <v>74</v>
      </c>
      <c r="Q25" s="4" t="s">
        <v>66</v>
      </c>
      <c r="R25" s="4" t="s">
        <v>59</v>
      </c>
      <c r="S25" s="4" t="s">
        <v>33</v>
      </c>
      <c r="T25" s="5" t="s">
        <v>177</v>
      </c>
      <c r="U25" s="5" t="s">
        <v>178</v>
      </c>
    </row>
    <row r="26" customFormat="false" ht="61.5" hidden="false" customHeight="true" outlineLevel="0" collapsed="false">
      <c r="A26" s="4" t="s">
        <v>179</v>
      </c>
      <c r="B26" s="5" t="s">
        <v>180</v>
      </c>
      <c r="C26" s="4" t="s">
        <v>181</v>
      </c>
      <c r="D26" s="5" t="s">
        <v>182</v>
      </c>
      <c r="E26" s="5" t="s">
        <v>183</v>
      </c>
      <c r="F26" s="4" t="n">
        <v>4</v>
      </c>
      <c r="G26" s="4" t="n">
        <v>3</v>
      </c>
      <c r="H26" s="4" t="n">
        <f aca="false">F26*G26</f>
        <v>12</v>
      </c>
      <c r="I26" s="4" t="str">
        <f aca="false">IF(H26&lt;=6,"Low",IF(H26&lt;=12,"Medium",IF(H26&lt;=16,"High","Critical")))</f>
        <v>Medium</v>
      </c>
      <c r="J26" s="5" t="s">
        <v>184</v>
      </c>
      <c r="K26" s="4" t="n">
        <v>4</v>
      </c>
      <c r="L26" s="4" t="n">
        <v>3</v>
      </c>
      <c r="M26" s="4" t="n">
        <f aca="false">K26*L26</f>
        <v>12</v>
      </c>
      <c r="N26" s="4" t="str">
        <f aca="false">IF(M26&lt;=6,"Low",IF(M26&lt;=12,"Medium",IF(M26&lt;=16,"High","Critical")))</f>
        <v>Medium</v>
      </c>
      <c r="O26" s="4" t="s">
        <v>29</v>
      </c>
      <c r="P26" s="5" t="s">
        <v>65</v>
      </c>
      <c r="Q26" s="4" t="s">
        <v>31</v>
      </c>
      <c r="R26" s="4" t="s">
        <v>32</v>
      </c>
      <c r="S26" s="4" t="s">
        <v>33</v>
      </c>
      <c r="T26" s="5" t="s">
        <v>52</v>
      </c>
      <c r="U26" s="5" t="s">
        <v>185</v>
      </c>
    </row>
    <row r="27" customFormat="false" ht="61.5" hidden="false" customHeight="true" outlineLevel="0" collapsed="false">
      <c r="A27" s="4" t="s">
        <v>186</v>
      </c>
      <c r="B27" s="5" t="s">
        <v>187</v>
      </c>
      <c r="C27" s="4" t="s">
        <v>188</v>
      </c>
      <c r="D27" s="5" t="s">
        <v>189</v>
      </c>
      <c r="E27" s="5" t="s">
        <v>190</v>
      </c>
      <c r="F27" s="4" t="n">
        <v>4</v>
      </c>
      <c r="G27" s="4" t="n">
        <v>4</v>
      </c>
      <c r="H27" s="4" t="n">
        <f aca="false">F27*G27</f>
        <v>16</v>
      </c>
      <c r="I27" s="4" t="str">
        <f aca="false">IF(H27&lt;=6,"Low",IF(H27&lt;=12,"Medium",IF(H27&lt;=16,"High","Critical")))</f>
        <v>High</v>
      </c>
      <c r="J27" s="5" t="s">
        <v>191</v>
      </c>
      <c r="K27" s="4" t="n">
        <v>4</v>
      </c>
      <c r="L27" s="4" t="n">
        <v>4</v>
      </c>
      <c r="M27" s="4" t="n">
        <f aca="false">K27*L27</f>
        <v>16</v>
      </c>
      <c r="N27" s="4" t="str">
        <f aca="false">IF(M27&lt;=6,"Low",IF(M27&lt;=12,"Medium",IF(M27&lt;=16,"High","Critical")))</f>
        <v>High</v>
      </c>
      <c r="O27" s="4" t="s">
        <v>29</v>
      </c>
      <c r="P27" s="5" t="s">
        <v>74</v>
      </c>
      <c r="Q27" s="4" t="s">
        <v>75</v>
      </c>
      <c r="R27" s="4" t="s">
        <v>42</v>
      </c>
      <c r="S27" s="4" t="s">
        <v>33</v>
      </c>
      <c r="T27" s="5" t="s">
        <v>86</v>
      </c>
      <c r="U27" s="5" t="s">
        <v>192</v>
      </c>
    </row>
    <row r="28" customFormat="false" ht="61.5" hidden="false" customHeight="true" outlineLevel="0" collapsed="false">
      <c r="A28" s="4" t="s">
        <v>193</v>
      </c>
      <c r="B28" s="5" t="s">
        <v>187</v>
      </c>
      <c r="C28" s="4" t="s">
        <v>188</v>
      </c>
      <c r="D28" s="5" t="s">
        <v>194</v>
      </c>
      <c r="E28" s="5" t="s">
        <v>195</v>
      </c>
      <c r="F28" s="4" t="n">
        <v>4</v>
      </c>
      <c r="G28" s="4" t="n">
        <v>4</v>
      </c>
      <c r="H28" s="4" t="n">
        <f aca="false">F28*G28</f>
        <v>16</v>
      </c>
      <c r="I28" s="4" t="str">
        <f aca="false">IF(H28&lt;=6,"Low",IF(H28&lt;=12,"Medium",IF(H28&lt;=16,"High","Critical")))</f>
        <v>High</v>
      </c>
      <c r="J28" s="5" t="s">
        <v>196</v>
      </c>
      <c r="K28" s="4" t="n">
        <v>3</v>
      </c>
      <c r="L28" s="4" t="n">
        <v>4</v>
      </c>
      <c r="M28" s="4" t="n">
        <f aca="false">K28*L28</f>
        <v>12</v>
      </c>
      <c r="N28" s="4" t="str">
        <f aca="false">IF(M28&lt;=6,"Low",IF(M28&lt;=12,"Medium",IF(M28&lt;=16,"High","Critical")))</f>
        <v>Medium</v>
      </c>
      <c r="O28" s="4" t="s">
        <v>29</v>
      </c>
      <c r="P28" s="5" t="s">
        <v>197</v>
      </c>
      <c r="Q28" s="4" t="s">
        <v>198</v>
      </c>
      <c r="R28" s="4" t="s">
        <v>42</v>
      </c>
      <c r="S28" s="4" t="s">
        <v>33</v>
      </c>
      <c r="T28" s="5" t="s">
        <v>67</v>
      </c>
      <c r="U28" s="5" t="s">
        <v>68</v>
      </c>
    </row>
    <row r="29" customFormat="false" ht="61.5" hidden="false" customHeight="true" outlineLevel="0" collapsed="false">
      <c r="A29" s="4" t="s">
        <v>199</v>
      </c>
      <c r="B29" s="5" t="s">
        <v>200</v>
      </c>
      <c r="C29" s="4" t="s">
        <v>128</v>
      </c>
      <c r="D29" s="5" t="s">
        <v>71</v>
      </c>
      <c r="E29" s="5" t="s">
        <v>201</v>
      </c>
      <c r="F29" s="4" t="n">
        <v>2</v>
      </c>
      <c r="G29" s="4" t="n">
        <v>4</v>
      </c>
      <c r="H29" s="4" t="n">
        <f aca="false">F29*G29</f>
        <v>8</v>
      </c>
      <c r="I29" s="4" t="str">
        <f aca="false">IF(H29&lt;=6,"Low",IF(H29&lt;=12,"Medium",IF(H29&lt;=16,"High","Critical")))</f>
        <v>Medium</v>
      </c>
      <c r="J29" s="5" t="s">
        <v>202</v>
      </c>
      <c r="K29" s="4" t="n">
        <v>2</v>
      </c>
      <c r="L29" s="4" t="n">
        <v>3</v>
      </c>
      <c r="M29" s="4" t="n">
        <f aca="false">K29*L29</f>
        <v>6</v>
      </c>
      <c r="N29" s="4" t="str">
        <f aca="false">IF(M29&lt;=6,"Low",IF(M29&lt;=12,"Medium",IF(M29&lt;=16,"High","Critical")))</f>
        <v>Low</v>
      </c>
      <c r="O29" s="4" t="s">
        <v>29</v>
      </c>
      <c r="P29" s="5" t="s">
        <v>74</v>
      </c>
      <c r="Q29" s="4" t="s">
        <v>107</v>
      </c>
      <c r="R29" s="4" t="s">
        <v>42</v>
      </c>
      <c r="S29" s="4" t="s">
        <v>33</v>
      </c>
      <c r="T29" s="5" t="s">
        <v>203</v>
      </c>
      <c r="U29" s="5" t="s">
        <v>94</v>
      </c>
    </row>
    <row r="31" customFormat="false" ht="15" hidden="false" customHeight="false" outlineLevel="0" collapsed="false">
      <c r="A31" s="6" t="s">
        <v>204</v>
      </c>
    </row>
    <row r="32" customFormat="false" ht="15" hidden="false" customHeight="false" outlineLevel="0" collapsed="false">
      <c r="A32" s="2" t="s">
        <v>205</v>
      </c>
    </row>
    <row r="33" customFormat="false" ht="15" hidden="false" customHeight="false" outlineLevel="0" collapsed="false">
      <c r="A33" s="2" t="s">
        <v>206</v>
      </c>
    </row>
    <row r="34" customFormat="false" ht="15" hidden="false" customHeight="false" outlineLevel="0" collapsed="false">
      <c r="A34" s="2" t="s">
        <v>207</v>
      </c>
    </row>
    <row r="35" customFormat="false" ht="15" hidden="false" customHeight="false" outlineLevel="0" collapsed="false">
      <c r="A35" s="2" t="s">
        <v>208</v>
      </c>
    </row>
    <row r="36" customFormat="false" ht="15" hidden="false" customHeight="false" outlineLevel="0" collapsed="false">
      <c r="A36" s="2" t="s">
        <v>209</v>
      </c>
    </row>
  </sheetData>
  <autoFilter ref="A4:U29"/>
  <conditionalFormatting sqref="I5:I29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conditionalFormatting sqref="N5:N29">
    <cfRule type="cellIs" priority="6" operator="equal" aboveAverage="0" equalAverage="0" bottom="0" percent="0" rank="0" text="" dxfId="7">
      <formula>"Critical"</formula>
    </cfRule>
    <cfRule type="cellIs" priority="7" operator="equal" aboveAverage="0" equalAverage="0" bottom="0" percent="0" rank="0" text="" dxfId="8">
      <formula>"High"</formula>
    </cfRule>
    <cfRule type="cellIs" priority="8" operator="equal" aboveAverage="0" equalAverage="0" bottom="0" percent="0" rank="0" text="" dxfId="9">
      <formula>"Medium"</formula>
    </cfRule>
    <cfRule type="cellIs" priority="9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78"/>
    <col collapsed="false" customWidth="true" hidden="false" outlineLevel="0" max="6" min="4" style="0" width="8"/>
  </cols>
  <sheetData>
    <row r="1" customFormat="false" ht="17.35" hidden="false" customHeight="false" outlineLevel="0" collapsed="false">
      <c r="A1" s="1" t="s">
        <v>210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</row>
    <row r="3" customFormat="false" ht="15" hidden="false" customHeight="false" outlineLevel="0" collapsed="false">
      <c r="A3" s="6" t="s">
        <v>211</v>
      </c>
      <c r="B3" s="7"/>
      <c r="C3" s="7"/>
      <c r="D3" s="7"/>
      <c r="E3" s="7"/>
      <c r="F3" s="7"/>
    </row>
    <row r="4" customFormat="false" ht="15" hidden="false" customHeight="false" outlineLevel="0" collapsed="false">
      <c r="A4" s="7" t="s">
        <v>212</v>
      </c>
      <c r="B4" s="7" t="s">
        <v>213</v>
      </c>
      <c r="C4" s="7" t="s">
        <v>214</v>
      </c>
      <c r="D4" s="7"/>
      <c r="E4" s="7"/>
      <c r="F4" s="7"/>
    </row>
    <row r="5" customFormat="false" ht="15" hidden="false" customHeight="false" outlineLevel="0" collapsed="false">
      <c r="A5" s="7" t="n">
        <v>5</v>
      </c>
      <c r="B5" s="7" t="s">
        <v>215</v>
      </c>
      <c r="C5" s="7" t="s">
        <v>216</v>
      </c>
      <c r="D5" s="7"/>
      <c r="E5" s="7"/>
      <c r="F5" s="7"/>
    </row>
    <row r="6" customFormat="false" ht="15" hidden="false" customHeight="false" outlineLevel="0" collapsed="false">
      <c r="A6" s="7" t="n">
        <v>4</v>
      </c>
      <c r="B6" s="7" t="s">
        <v>217</v>
      </c>
      <c r="C6" s="7" t="s">
        <v>218</v>
      </c>
      <c r="D6" s="7"/>
      <c r="E6" s="7"/>
      <c r="F6" s="7"/>
    </row>
    <row r="7" customFormat="false" ht="15" hidden="false" customHeight="false" outlineLevel="0" collapsed="false">
      <c r="A7" s="7" t="n">
        <v>3</v>
      </c>
      <c r="B7" s="7" t="s">
        <v>219</v>
      </c>
      <c r="C7" s="7" t="s">
        <v>220</v>
      </c>
      <c r="D7" s="7"/>
      <c r="E7" s="7"/>
      <c r="F7" s="7"/>
    </row>
    <row r="8" customFormat="false" ht="15" hidden="false" customHeight="false" outlineLevel="0" collapsed="false">
      <c r="A8" s="7" t="n">
        <v>2</v>
      </c>
      <c r="B8" s="7" t="s">
        <v>221</v>
      </c>
      <c r="C8" s="7" t="s">
        <v>222</v>
      </c>
      <c r="D8" s="7"/>
      <c r="E8" s="7"/>
      <c r="F8" s="7"/>
    </row>
    <row r="9" customFormat="false" ht="15" hidden="false" customHeight="false" outlineLevel="0" collapsed="false">
      <c r="A9" s="7" t="n">
        <v>1</v>
      </c>
      <c r="B9" s="7" t="s">
        <v>223</v>
      </c>
      <c r="C9" s="7" t="s">
        <v>224</v>
      </c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6" t="s">
        <v>225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7" t="s">
        <v>212</v>
      </c>
      <c r="B12" s="7" t="s">
        <v>213</v>
      </c>
      <c r="C12" s="7" t="s">
        <v>214</v>
      </c>
      <c r="D12" s="7"/>
      <c r="E12" s="7"/>
      <c r="F12" s="7"/>
    </row>
    <row r="13" customFormat="false" ht="15" hidden="false" customHeight="false" outlineLevel="0" collapsed="false">
      <c r="A13" s="7" t="n">
        <v>5</v>
      </c>
      <c r="B13" s="7" t="s">
        <v>226</v>
      </c>
      <c r="C13" s="7" t="s">
        <v>227</v>
      </c>
      <c r="D13" s="7"/>
      <c r="E13" s="7"/>
      <c r="F13" s="7"/>
    </row>
    <row r="14" customFormat="false" ht="15" hidden="false" customHeight="false" outlineLevel="0" collapsed="false">
      <c r="A14" s="7" t="n">
        <v>4</v>
      </c>
      <c r="B14" s="7" t="s">
        <v>228</v>
      </c>
      <c r="C14" s="7" t="s">
        <v>229</v>
      </c>
      <c r="D14" s="7"/>
      <c r="E14" s="7"/>
      <c r="F14" s="7"/>
    </row>
    <row r="15" customFormat="false" ht="15" hidden="false" customHeight="false" outlineLevel="0" collapsed="false">
      <c r="A15" s="7" t="n">
        <v>3</v>
      </c>
      <c r="B15" s="7" t="s">
        <v>230</v>
      </c>
      <c r="C15" s="7" t="s">
        <v>231</v>
      </c>
      <c r="D15" s="7"/>
      <c r="E15" s="7"/>
      <c r="F15" s="7"/>
    </row>
    <row r="16" customFormat="false" ht="15" hidden="false" customHeight="false" outlineLevel="0" collapsed="false">
      <c r="A16" s="7" t="n">
        <v>2</v>
      </c>
      <c r="B16" s="7" t="s">
        <v>232</v>
      </c>
      <c r="C16" s="7" t="s">
        <v>233</v>
      </c>
      <c r="D16" s="7"/>
      <c r="E16" s="7"/>
      <c r="F16" s="7"/>
    </row>
    <row r="17" customFormat="false" ht="15" hidden="false" customHeight="false" outlineLevel="0" collapsed="false">
      <c r="A17" s="7" t="n">
        <v>1</v>
      </c>
      <c r="B17" s="7" t="s">
        <v>234</v>
      </c>
      <c r="C17" s="7" t="s">
        <v>235</v>
      </c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6" t="s">
        <v>236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237</v>
      </c>
      <c r="B20" s="7" t="s">
        <v>212</v>
      </c>
      <c r="C20" s="7" t="s">
        <v>238</v>
      </c>
      <c r="D20" s="7"/>
      <c r="E20" s="7"/>
      <c r="F20" s="7"/>
    </row>
    <row r="21" customFormat="false" ht="15" hidden="false" customHeight="false" outlineLevel="0" collapsed="false">
      <c r="A21" s="8" t="s">
        <v>239</v>
      </c>
      <c r="B21" s="7" t="s">
        <v>240</v>
      </c>
      <c r="C21" s="7" t="s">
        <v>241</v>
      </c>
      <c r="D21" s="7"/>
      <c r="E21" s="7"/>
      <c r="F21" s="7"/>
    </row>
    <row r="22" customFormat="false" ht="15" hidden="false" customHeight="false" outlineLevel="0" collapsed="false">
      <c r="A22" s="9" t="s">
        <v>242</v>
      </c>
      <c r="B22" s="7" t="s">
        <v>243</v>
      </c>
      <c r="C22" s="7" t="s">
        <v>244</v>
      </c>
      <c r="D22" s="7"/>
      <c r="E22" s="7"/>
      <c r="F22" s="7"/>
    </row>
    <row r="23" customFormat="false" ht="15" hidden="false" customHeight="false" outlineLevel="0" collapsed="false">
      <c r="A23" s="10" t="s">
        <v>245</v>
      </c>
      <c r="B23" s="7" t="s">
        <v>246</v>
      </c>
      <c r="C23" s="7" t="s">
        <v>247</v>
      </c>
      <c r="D23" s="7"/>
      <c r="E23" s="7"/>
      <c r="F23" s="7"/>
    </row>
    <row r="24" customFormat="false" ht="15" hidden="false" customHeight="false" outlineLevel="0" collapsed="false">
      <c r="A24" s="11" t="s">
        <v>248</v>
      </c>
      <c r="B24" s="7" t="s">
        <v>249</v>
      </c>
      <c r="C24" s="7" t="s">
        <v>250</v>
      </c>
      <c r="D24" s="7"/>
      <c r="E24" s="7"/>
      <c r="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</row>
    <row r="26" customFormat="false" ht="15" hidden="false" customHeight="false" outlineLevel="0" collapsed="false">
      <c r="A26" s="6" t="s">
        <v>251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7"/>
      <c r="B27" s="12" t="n">
        <v>1</v>
      </c>
      <c r="C27" s="12" t="n">
        <v>2</v>
      </c>
      <c r="D27" s="12" t="n">
        <v>3</v>
      </c>
      <c r="E27" s="12" t="n">
        <v>4</v>
      </c>
      <c r="F27" s="12" t="n">
        <v>5</v>
      </c>
    </row>
    <row r="28" customFormat="false" ht="15" hidden="false" customHeight="false" outlineLevel="0" collapsed="false">
      <c r="A28" s="12" t="n">
        <v>5</v>
      </c>
      <c r="B28" s="13" t="n">
        <v>5</v>
      </c>
      <c r="C28" s="14" t="n">
        <v>10</v>
      </c>
      <c r="D28" s="15" t="n">
        <v>15</v>
      </c>
      <c r="E28" s="16" t="n">
        <v>20</v>
      </c>
      <c r="F28" s="16" t="n">
        <v>25</v>
      </c>
    </row>
    <row r="29" customFormat="false" ht="15" hidden="false" customHeight="false" outlineLevel="0" collapsed="false">
      <c r="A29" s="12" t="n">
        <v>4</v>
      </c>
      <c r="B29" s="13" t="n">
        <v>4</v>
      </c>
      <c r="C29" s="14" t="n">
        <v>8</v>
      </c>
      <c r="D29" s="14" t="n">
        <v>12</v>
      </c>
      <c r="E29" s="15" t="n">
        <v>16</v>
      </c>
      <c r="F29" s="16" t="n">
        <v>20</v>
      </c>
    </row>
    <row r="30" customFormat="false" ht="15" hidden="false" customHeight="false" outlineLevel="0" collapsed="false">
      <c r="A30" s="12" t="n">
        <v>3</v>
      </c>
      <c r="B30" s="13" t="n">
        <v>3</v>
      </c>
      <c r="C30" s="13" t="n">
        <v>6</v>
      </c>
      <c r="D30" s="14" t="n">
        <v>9</v>
      </c>
      <c r="E30" s="14" t="n">
        <v>12</v>
      </c>
      <c r="F30" s="15" t="n">
        <v>15</v>
      </c>
    </row>
    <row r="31" customFormat="false" ht="15" hidden="false" customHeight="false" outlineLevel="0" collapsed="false">
      <c r="A31" s="12" t="n">
        <v>2</v>
      </c>
      <c r="B31" s="13" t="n">
        <v>2</v>
      </c>
      <c r="C31" s="13" t="n">
        <v>4</v>
      </c>
      <c r="D31" s="13" t="n">
        <v>6</v>
      </c>
      <c r="E31" s="14" t="n">
        <v>8</v>
      </c>
      <c r="F31" s="14" t="n">
        <v>10</v>
      </c>
    </row>
    <row r="32" customFormat="false" ht="15" hidden="false" customHeight="false" outlineLevel="0" collapsed="false">
      <c r="A32" s="12" t="n">
        <v>1</v>
      </c>
      <c r="B32" s="13" t="n">
        <v>1</v>
      </c>
      <c r="C32" s="13" t="n">
        <v>2</v>
      </c>
      <c r="D32" s="13" t="n">
        <v>3</v>
      </c>
      <c r="E32" s="13" t="n">
        <v>4</v>
      </c>
      <c r="F32" s="13" t="n">
        <v>5</v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252</v>
      </c>
    </row>
    <row r="3" customFormat="false" ht="15" hidden="false" customHeight="false" outlineLevel="0" collapsed="false">
      <c r="A3" s="17" t="s">
        <v>253</v>
      </c>
      <c r="B3" s="17" t="s">
        <v>4</v>
      </c>
      <c r="C3" s="17" t="s">
        <v>254</v>
      </c>
      <c r="D3" s="17" t="s">
        <v>255</v>
      </c>
      <c r="E3" s="17" t="s">
        <v>256</v>
      </c>
    </row>
    <row r="4" customFormat="false" ht="23.85" hidden="false" customHeight="false" outlineLevel="0" collapsed="false">
      <c r="A4" s="5" t="s">
        <v>24</v>
      </c>
      <c r="B4" s="5" t="s">
        <v>25</v>
      </c>
      <c r="C4" s="5" t="s">
        <v>257</v>
      </c>
      <c r="D4" s="5" t="s">
        <v>258</v>
      </c>
      <c r="E4" s="5" t="s">
        <v>259</v>
      </c>
    </row>
    <row r="5" customFormat="false" ht="23.85" hidden="false" customHeight="false" outlineLevel="0" collapsed="false">
      <c r="A5" s="5" t="s">
        <v>46</v>
      </c>
      <c r="B5" s="5" t="s">
        <v>25</v>
      </c>
      <c r="C5" s="5" t="s">
        <v>260</v>
      </c>
      <c r="D5" s="5" t="s">
        <v>261</v>
      </c>
      <c r="E5" s="5" t="s">
        <v>45</v>
      </c>
    </row>
    <row r="6" customFormat="false" ht="15" hidden="false" customHeight="false" outlineLevel="0" collapsed="false">
      <c r="A6" s="5" t="s">
        <v>55</v>
      </c>
      <c r="B6" s="5" t="s">
        <v>25</v>
      </c>
      <c r="C6" s="5" t="s">
        <v>262</v>
      </c>
      <c r="D6" s="5" t="s">
        <v>263</v>
      </c>
      <c r="E6" s="5" t="s">
        <v>264</v>
      </c>
    </row>
    <row r="7" customFormat="false" ht="15" hidden="false" customHeight="false" outlineLevel="0" collapsed="false">
      <c r="A7" s="5" t="s">
        <v>70</v>
      </c>
      <c r="B7" s="5" t="s">
        <v>25</v>
      </c>
      <c r="C7" s="5" t="s">
        <v>265</v>
      </c>
      <c r="D7" s="5" t="s">
        <v>266</v>
      </c>
      <c r="E7" s="5" t="s">
        <v>69</v>
      </c>
    </row>
    <row r="8" customFormat="false" ht="15" hidden="false" customHeight="false" outlineLevel="0" collapsed="false">
      <c r="A8" s="5" t="s">
        <v>80</v>
      </c>
      <c r="B8" s="5" t="s">
        <v>25</v>
      </c>
      <c r="C8" s="5" t="s">
        <v>267</v>
      </c>
      <c r="D8" s="5" t="s">
        <v>268</v>
      </c>
      <c r="E8" s="5" t="s">
        <v>269</v>
      </c>
    </row>
    <row r="9" customFormat="false" ht="15" hidden="false" customHeight="false" outlineLevel="0" collapsed="false">
      <c r="A9" s="5" t="s">
        <v>96</v>
      </c>
      <c r="B9" s="5" t="s">
        <v>25</v>
      </c>
      <c r="C9" s="5" t="s">
        <v>270</v>
      </c>
      <c r="D9" s="5" t="s">
        <v>271</v>
      </c>
      <c r="E9" s="5" t="s">
        <v>95</v>
      </c>
    </row>
    <row r="10" customFormat="false" ht="15" hidden="false" customHeight="false" outlineLevel="0" collapsed="false">
      <c r="A10" s="5" t="s">
        <v>103</v>
      </c>
      <c r="B10" s="5" t="s">
        <v>25</v>
      </c>
      <c r="C10" s="5" t="s">
        <v>272</v>
      </c>
      <c r="D10" s="5" t="s">
        <v>273</v>
      </c>
      <c r="E10" s="5" t="s">
        <v>274</v>
      </c>
    </row>
    <row r="11" customFormat="false" ht="15" hidden="false" customHeight="false" outlineLevel="0" collapsed="false">
      <c r="A11" s="5" t="s">
        <v>115</v>
      </c>
      <c r="B11" s="5" t="s">
        <v>25</v>
      </c>
      <c r="C11" s="5" t="s">
        <v>275</v>
      </c>
      <c r="D11" s="5" t="s">
        <v>276</v>
      </c>
      <c r="E11" s="5" t="s">
        <v>114</v>
      </c>
    </row>
    <row r="12" customFormat="false" ht="15" hidden="false" customHeight="false" outlineLevel="0" collapsed="false">
      <c r="A12" s="5" t="s">
        <v>127</v>
      </c>
      <c r="B12" s="5" t="s">
        <v>128</v>
      </c>
      <c r="C12" s="5" t="s">
        <v>277</v>
      </c>
      <c r="D12" s="5" t="s">
        <v>278</v>
      </c>
      <c r="E12" s="5" t="s">
        <v>126</v>
      </c>
    </row>
    <row r="13" customFormat="false" ht="15" hidden="false" customHeight="false" outlineLevel="0" collapsed="false">
      <c r="A13" s="5" t="s">
        <v>134</v>
      </c>
      <c r="B13" s="5" t="s">
        <v>128</v>
      </c>
      <c r="C13" s="5" t="s">
        <v>279</v>
      </c>
      <c r="D13" s="5" t="s">
        <v>280</v>
      </c>
      <c r="E13" s="5" t="s">
        <v>133</v>
      </c>
    </row>
    <row r="14" customFormat="false" ht="15" hidden="false" customHeight="false" outlineLevel="0" collapsed="false">
      <c r="A14" s="5" t="s">
        <v>139</v>
      </c>
      <c r="B14" s="5" t="s">
        <v>128</v>
      </c>
      <c r="C14" s="5" t="s">
        <v>281</v>
      </c>
      <c r="D14" s="5" t="s">
        <v>282</v>
      </c>
      <c r="E14" s="5" t="s">
        <v>138</v>
      </c>
    </row>
    <row r="15" customFormat="false" ht="15" hidden="false" customHeight="false" outlineLevel="0" collapsed="false">
      <c r="A15" s="5" t="s">
        <v>146</v>
      </c>
      <c r="B15" s="5" t="s">
        <v>128</v>
      </c>
      <c r="C15" s="5" t="s">
        <v>283</v>
      </c>
      <c r="D15" s="5" t="s">
        <v>284</v>
      </c>
      <c r="E15" s="5" t="s">
        <v>145</v>
      </c>
    </row>
    <row r="16" customFormat="false" ht="15" hidden="false" customHeight="false" outlineLevel="0" collapsed="false">
      <c r="A16" s="5" t="s">
        <v>154</v>
      </c>
      <c r="B16" s="5" t="s">
        <v>128</v>
      </c>
      <c r="C16" s="5" t="s">
        <v>285</v>
      </c>
      <c r="D16" s="5" t="s">
        <v>286</v>
      </c>
      <c r="E16" s="5" t="s">
        <v>287</v>
      </c>
    </row>
    <row r="17" customFormat="false" ht="15" hidden="false" customHeight="false" outlineLevel="0" collapsed="false">
      <c r="A17" s="5" t="s">
        <v>168</v>
      </c>
      <c r="B17" s="5" t="s">
        <v>128</v>
      </c>
      <c r="C17" s="5" t="s">
        <v>288</v>
      </c>
      <c r="D17" s="5" t="s">
        <v>289</v>
      </c>
      <c r="E17" s="5" t="s">
        <v>167</v>
      </c>
    </row>
    <row r="18" customFormat="false" ht="15" hidden="false" customHeight="false" outlineLevel="0" collapsed="false">
      <c r="A18" s="5" t="s">
        <v>173</v>
      </c>
      <c r="B18" s="5" t="s">
        <v>128</v>
      </c>
      <c r="C18" s="5" t="s">
        <v>290</v>
      </c>
      <c r="D18" s="5" t="s">
        <v>291</v>
      </c>
      <c r="E18" s="5" t="s">
        <v>172</v>
      </c>
    </row>
    <row r="19" customFormat="false" ht="15" hidden="false" customHeight="false" outlineLevel="0" collapsed="false">
      <c r="A19" s="5" t="s">
        <v>200</v>
      </c>
      <c r="B19" s="5" t="s">
        <v>128</v>
      </c>
      <c r="C19" s="5" t="s">
        <v>292</v>
      </c>
      <c r="D19" s="5" t="s">
        <v>293</v>
      </c>
      <c r="E19" s="5" t="s">
        <v>199</v>
      </c>
    </row>
    <row r="20" customFormat="false" ht="15" hidden="false" customHeight="false" outlineLevel="0" collapsed="false">
      <c r="A20" s="5" t="s">
        <v>294</v>
      </c>
      <c r="B20" s="5" t="s">
        <v>181</v>
      </c>
      <c r="C20" s="5" t="s">
        <v>295</v>
      </c>
      <c r="D20" s="5" t="s">
        <v>296</v>
      </c>
      <c r="E20" s="5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31.5" hidden="false" customHeight="true" outlineLevel="0" collapsed="false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20</v>
      </c>
      <c r="N4" s="3" t="s">
        <v>311</v>
      </c>
    </row>
    <row r="5" customFormat="false" ht="67.5" hidden="false" customHeight="true" outlineLevel="0" collapsed="false">
      <c r="A5" s="4" t="s">
        <v>312</v>
      </c>
      <c r="B5" s="4" t="s">
        <v>313</v>
      </c>
      <c r="C5" s="5" t="s">
        <v>186</v>
      </c>
      <c r="D5" s="5" t="s">
        <v>314</v>
      </c>
      <c r="E5" s="5" t="s">
        <v>74</v>
      </c>
      <c r="F5" s="4" t="s">
        <v>248</v>
      </c>
      <c r="G5" s="4" t="s">
        <v>245</v>
      </c>
      <c r="H5" s="4" t="s">
        <v>107</v>
      </c>
      <c r="I5" s="5" t="s">
        <v>315</v>
      </c>
      <c r="J5" s="5" t="s">
        <v>316</v>
      </c>
      <c r="K5" s="4" t="n">
        <v>16</v>
      </c>
      <c r="L5" s="4" t="n">
        <v>8</v>
      </c>
      <c r="M5" s="4" t="s">
        <v>317</v>
      </c>
      <c r="N5" s="4" t="n">
        <f aca="false">K5-L5</f>
        <v>8</v>
      </c>
    </row>
    <row r="6" customFormat="false" ht="67.5" hidden="false" customHeight="true" outlineLevel="0" collapsed="false">
      <c r="A6" s="4" t="s">
        <v>318</v>
      </c>
      <c r="B6" s="4" t="s">
        <v>313</v>
      </c>
      <c r="C6" s="5" t="s">
        <v>319</v>
      </c>
      <c r="D6" s="5" t="s">
        <v>320</v>
      </c>
      <c r="E6" s="5" t="s">
        <v>74</v>
      </c>
      <c r="F6" s="4" t="s">
        <v>248</v>
      </c>
      <c r="G6" s="4" t="s">
        <v>242</v>
      </c>
      <c r="H6" s="4" t="s">
        <v>131</v>
      </c>
      <c r="I6" s="5" t="s">
        <v>321</v>
      </c>
      <c r="J6" s="5" t="s">
        <v>322</v>
      </c>
      <c r="K6" s="4" t="n">
        <v>16</v>
      </c>
      <c r="L6" s="4" t="n">
        <v>8</v>
      </c>
      <c r="M6" s="4" t="s">
        <v>317</v>
      </c>
      <c r="N6" s="4" t="n">
        <f aca="false">K6-L6</f>
        <v>8</v>
      </c>
    </row>
    <row r="7" customFormat="false" ht="67.5" hidden="false" customHeight="true" outlineLevel="0" collapsed="false">
      <c r="A7" s="4" t="s">
        <v>323</v>
      </c>
      <c r="B7" s="4" t="s">
        <v>313</v>
      </c>
      <c r="C7" s="5" t="s">
        <v>88</v>
      </c>
      <c r="D7" s="5" t="s">
        <v>324</v>
      </c>
      <c r="E7" s="5" t="s">
        <v>40</v>
      </c>
      <c r="F7" s="4" t="s">
        <v>245</v>
      </c>
      <c r="G7" s="4" t="s">
        <v>239</v>
      </c>
      <c r="H7" s="4" t="s">
        <v>325</v>
      </c>
      <c r="I7" s="5" t="s">
        <v>321</v>
      </c>
      <c r="J7" s="5" t="s">
        <v>326</v>
      </c>
      <c r="K7" s="4" t="n">
        <v>15</v>
      </c>
      <c r="L7" s="4" t="n">
        <v>5</v>
      </c>
      <c r="M7" s="4" t="s">
        <v>317</v>
      </c>
      <c r="N7" s="4" t="n">
        <f aca="false">K7-L7</f>
        <v>10</v>
      </c>
    </row>
    <row r="8" customFormat="false" ht="67.5" hidden="false" customHeight="true" outlineLevel="0" collapsed="false">
      <c r="A8" s="4" t="s">
        <v>327</v>
      </c>
      <c r="B8" s="4" t="s">
        <v>313</v>
      </c>
      <c r="C8" s="5" t="s">
        <v>23</v>
      </c>
      <c r="D8" s="5" t="s">
        <v>328</v>
      </c>
      <c r="E8" s="5" t="s">
        <v>30</v>
      </c>
      <c r="F8" s="4" t="s">
        <v>245</v>
      </c>
      <c r="G8" s="4" t="s">
        <v>245</v>
      </c>
      <c r="H8" s="4" t="s">
        <v>31</v>
      </c>
      <c r="I8" s="5" t="s">
        <v>329</v>
      </c>
      <c r="J8" s="5" t="s">
        <v>330</v>
      </c>
      <c r="K8" s="4" t="n">
        <v>12</v>
      </c>
      <c r="L8" s="4" t="n">
        <v>6</v>
      </c>
      <c r="M8" s="4" t="s">
        <v>317</v>
      </c>
      <c r="N8" s="4" t="n">
        <f aca="false">K8-L8</f>
        <v>6</v>
      </c>
    </row>
    <row r="9" customFormat="false" ht="67.5" hidden="false" customHeight="true" outlineLevel="0" collapsed="false">
      <c r="A9" s="4" t="s">
        <v>331</v>
      </c>
      <c r="B9" s="4" t="s">
        <v>313</v>
      </c>
      <c r="C9" s="5" t="s">
        <v>153</v>
      </c>
      <c r="D9" s="5" t="s">
        <v>332</v>
      </c>
      <c r="E9" s="5" t="s">
        <v>150</v>
      </c>
      <c r="F9" s="4" t="s">
        <v>245</v>
      </c>
      <c r="G9" s="4" t="s">
        <v>242</v>
      </c>
      <c r="H9" s="4" t="s">
        <v>107</v>
      </c>
      <c r="I9" s="5" t="s">
        <v>333</v>
      </c>
      <c r="J9" s="5" t="s">
        <v>334</v>
      </c>
      <c r="K9" s="4" t="n">
        <v>12</v>
      </c>
      <c r="L9" s="4" t="n">
        <v>6</v>
      </c>
      <c r="M9" s="4" t="s">
        <v>317</v>
      </c>
      <c r="N9" s="4" t="n">
        <f aca="false">K9-L9</f>
        <v>6</v>
      </c>
    </row>
    <row r="10" customFormat="false" ht="67.5" hidden="false" customHeight="true" outlineLevel="0" collapsed="false">
      <c r="A10" s="4" t="s">
        <v>335</v>
      </c>
      <c r="B10" s="4" t="s">
        <v>313</v>
      </c>
      <c r="C10" s="5" t="s">
        <v>179</v>
      </c>
      <c r="D10" s="5" t="s">
        <v>336</v>
      </c>
      <c r="E10" s="5" t="s">
        <v>65</v>
      </c>
      <c r="F10" s="4" t="s">
        <v>245</v>
      </c>
      <c r="G10" s="4" t="s">
        <v>242</v>
      </c>
      <c r="H10" s="4" t="s">
        <v>107</v>
      </c>
      <c r="I10" s="5" t="s">
        <v>318</v>
      </c>
      <c r="J10" s="5" t="s">
        <v>337</v>
      </c>
      <c r="K10" s="4" t="n">
        <v>12</v>
      </c>
      <c r="L10" s="4" t="n">
        <v>6</v>
      </c>
      <c r="M10" s="4" t="s">
        <v>317</v>
      </c>
      <c r="N10" s="4" t="n">
        <f aca="false">K10-L10</f>
        <v>6</v>
      </c>
    </row>
    <row r="11" customFormat="false" ht="67.5" hidden="false" customHeight="true" outlineLevel="0" collapsed="false">
      <c r="A11" s="4" t="s">
        <v>338</v>
      </c>
      <c r="B11" s="4" t="s">
        <v>339</v>
      </c>
      <c r="C11" s="5" t="s">
        <v>193</v>
      </c>
      <c r="D11" s="5" t="s">
        <v>340</v>
      </c>
      <c r="E11" s="5" t="s">
        <v>197</v>
      </c>
      <c r="F11" s="4" t="s">
        <v>245</v>
      </c>
      <c r="G11" s="4" t="s">
        <v>245</v>
      </c>
      <c r="H11" s="4" t="s">
        <v>58</v>
      </c>
      <c r="I11" s="5" t="s">
        <v>341</v>
      </c>
      <c r="J11" s="5" t="s">
        <v>342</v>
      </c>
      <c r="K11" s="4" t="n">
        <v>12</v>
      </c>
      <c r="L11" s="4" t="n">
        <v>6</v>
      </c>
      <c r="M11" s="4" t="s">
        <v>317</v>
      </c>
      <c r="N11" s="4" t="n">
        <f aca="false">K11-L11</f>
        <v>6</v>
      </c>
    </row>
    <row r="12" customFormat="false" ht="67.5" hidden="false" customHeight="true" outlineLevel="0" collapsed="false">
      <c r="A12" s="4" t="s">
        <v>343</v>
      </c>
      <c r="B12" s="4" t="s">
        <v>339</v>
      </c>
      <c r="C12" s="5" t="s">
        <v>119</v>
      </c>
      <c r="D12" s="5" t="s">
        <v>344</v>
      </c>
      <c r="E12" s="5" t="s">
        <v>74</v>
      </c>
      <c r="F12" s="4" t="s">
        <v>245</v>
      </c>
      <c r="G12" s="4" t="s">
        <v>242</v>
      </c>
      <c r="H12" s="4" t="s">
        <v>58</v>
      </c>
      <c r="I12" s="5" t="s">
        <v>345</v>
      </c>
      <c r="J12" s="5" t="s">
        <v>346</v>
      </c>
      <c r="K12" s="4" t="n">
        <v>10</v>
      </c>
      <c r="L12" s="4" t="n">
        <v>5</v>
      </c>
      <c r="M12" s="4" t="s">
        <v>317</v>
      </c>
      <c r="N12" s="4" t="n">
        <f aca="false">K12-L12</f>
        <v>5</v>
      </c>
    </row>
    <row r="13" customFormat="false" ht="67.5" hidden="false" customHeight="true" outlineLevel="0" collapsed="false">
      <c r="A13" s="4" t="s">
        <v>347</v>
      </c>
      <c r="B13" s="4" t="s">
        <v>339</v>
      </c>
      <c r="C13" s="5" t="s">
        <v>172</v>
      </c>
      <c r="D13" s="5" t="s">
        <v>348</v>
      </c>
      <c r="E13" s="5" t="s">
        <v>74</v>
      </c>
      <c r="F13" s="4" t="s">
        <v>242</v>
      </c>
      <c r="G13" s="4" t="s">
        <v>245</v>
      </c>
      <c r="H13" s="4" t="s">
        <v>66</v>
      </c>
      <c r="I13" s="5" t="s">
        <v>349</v>
      </c>
      <c r="J13" s="5" t="s">
        <v>350</v>
      </c>
      <c r="K13" s="4" t="n">
        <v>9</v>
      </c>
      <c r="L13" s="4" t="n">
        <v>4</v>
      </c>
      <c r="M13" s="4" t="s">
        <v>317</v>
      </c>
      <c r="N13" s="4" t="n">
        <f aca="false">K13-L13</f>
        <v>5</v>
      </c>
    </row>
    <row r="14" customFormat="false" ht="67.5" hidden="false" customHeight="true" outlineLevel="0" collapsed="false">
      <c r="A14" s="4" t="s">
        <v>351</v>
      </c>
      <c r="B14" s="4" t="s">
        <v>339</v>
      </c>
      <c r="C14" s="5" t="s">
        <v>138</v>
      </c>
      <c r="D14" s="5" t="s">
        <v>352</v>
      </c>
      <c r="E14" s="5" t="s">
        <v>74</v>
      </c>
      <c r="F14" s="4" t="s">
        <v>242</v>
      </c>
      <c r="G14" s="4" t="s">
        <v>242</v>
      </c>
      <c r="H14" s="4" t="s">
        <v>99</v>
      </c>
      <c r="I14" s="5" t="s">
        <v>353</v>
      </c>
      <c r="J14" s="5" t="s">
        <v>354</v>
      </c>
      <c r="K14" s="4" t="n">
        <v>8</v>
      </c>
      <c r="L14" s="4" t="n">
        <v>4</v>
      </c>
      <c r="M14" s="4" t="s">
        <v>317</v>
      </c>
      <c r="N14" s="4" t="n">
        <f aca="false">K14-L14</f>
        <v>4</v>
      </c>
    </row>
    <row r="15" customFormat="false" ht="67.5" hidden="false" customHeight="true" outlineLevel="0" collapsed="false">
      <c r="A15" s="4" t="s">
        <v>355</v>
      </c>
      <c r="B15" s="4" t="s">
        <v>339</v>
      </c>
      <c r="C15" s="5" t="s">
        <v>36</v>
      </c>
      <c r="D15" s="5" t="s">
        <v>356</v>
      </c>
      <c r="E15" s="5" t="s">
        <v>40</v>
      </c>
      <c r="F15" s="4" t="s">
        <v>242</v>
      </c>
      <c r="G15" s="4" t="s">
        <v>239</v>
      </c>
      <c r="H15" s="4" t="s">
        <v>85</v>
      </c>
      <c r="I15" s="5" t="s">
        <v>357</v>
      </c>
      <c r="J15" s="5" t="s">
        <v>358</v>
      </c>
      <c r="K15" s="4" t="n">
        <v>8</v>
      </c>
      <c r="L15" s="4" t="n">
        <v>4</v>
      </c>
      <c r="M15" s="4" t="s">
        <v>317</v>
      </c>
      <c r="N15" s="4" t="n">
        <f aca="false">K15-L15</f>
        <v>4</v>
      </c>
    </row>
    <row r="16" customFormat="false" ht="67.5" hidden="false" customHeight="true" outlineLevel="0" collapsed="false">
      <c r="A16" s="4" t="s">
        <v>359</v>
      </c>
      <c r="B16" s="4" t="s">
        <v>360</v>
      </c>
      <c r="C16" s="5" t="s">
        <v>45</v>
      </c>
      <c r="D16" s="5" t="s">
        <v>361</v>
      </c>
      <c r="E16" s="5" t="s">
        <v>50</v>
      </c>
      <c r="F16" s="4" t="s">
        <v>248</v>
      </c>
      <c r="G16" s="4" t="s">
        <v>245</v>
      </c>
      <c r="H16" s="4" t="s">
        <v>163</v>
      </c>
      <c r="I16" s="5" t="s">
        <v>362</v>
      </c>
      <c r="J16" s="5" t="s">
        <v>363</v>
      </c>
      <c r="K16" s="4" t="n">
        <v>15</v>
      </c>
      <c r="L16" s="4" t="n">
        <v>10</v>
      </c>
      <c r="M16" s="4" t="s">
        <v>317</v>
      </c>
      <c r="N16" s="4" t="n">
        <f aca="false">K16-L16</f>
        <v>5</v>
      </c>
    </row>
    <row r="17" customFormat="false" ht="67.5" hidden="false" customHeight="true" outlineLevel="0" collapsed="false">
      <c r="A17" s="4" t="s">
        <v>364</v>
      </c>
      <c r="B17" s="4" t="s">
        <v>360</v>
      </c>
      <c r="C17" s="5" t="s">
        <v>54</v>
      </c>
      <c r="D17" s="5" t="s">
        <v>365</v>
      </c>
      <c r="E17" s="5" t="s">
        <v>30</v>
      </c>
      <c r="F17" s="4" t="s">
        <v>242</v>
      </c>
      <c r="G17" s="4" t="s">
        <v>245</v>
      </c>
      <c r="H17" s="4" t="s">
        <v>366</v>
      </c>
      <c r="I17" s="5" t="s">
        <v>367</v>
      </c>
      <c r="J17" s="5" t="s">
        <v>368</v>
      </c>
      <c r="K17" s="4" t="n">
        <v>12</v>
      </c>
      <c r="L17" s="4" t="n">
        <v>8</v>
      </c>
      <c r="M17" s="4" t="s">
        <v>317</v>
      </c>
      <c r="N17" s="4" t="n">
        <f aca="false">K17-L17</f>
        <v>4</v>
      </c>
    </row>
    <row r="18" customFormat="false" ht="67.5" hidden="false" customHeight="true" outlineLevel="0" collapsed="false">
      <c r="A18" s="4" t="s">
        <v>367</v>
      </c>
      <c r="B18" s="4" t="s">
        <v>360</v>
      </c>
      <c r="C18" s="5" t="s">
        <v>61</v>
      </c>
      <c r="D18" s="5" t="s">
        <v>369</v>
      </c>
      <c r="E18" s="5" t="s">
        <v>65</v>
      </c>
      <c r="F18" s="4" t="s">
        <v>242</v>
      </c>
      <c r="G18" s="4" t="s">
        <v>242</v>
      </c>
      <c r="H18" s="4" t="s">
        <v>198</v>
      </c>
      <c r="I18" s="5" t="s">
        <v>370</v>
      </c>
      <c r="J18" s="5" t="s">
        <v>371</v>
      </c>
      <c r="K18" s="4" t="n">
        <v>12</v>
      </c>
      <c r="L18" s="4" t="n">
        <v>6</v>
      </c>
      <c r="M18" s="4" t="s">
        <v>317</v>
      </c>
      <c r="N18" s="4" t="n">
        <f aca="false">K18-L18</f>
        <v>6</v>
      </c>
    </row>
    <row r="19" customFormat="false" ht="67.5" hidden="false" customHeight="true" outlineLevel="0" collapsed="false">
      <c r="A19" s="4" t="s">
        <v>372</v>
      </c>
      <c r="B19" s="4" t="s">
        <v>360</v>
      </c>
      <c r="C19" s="5" t="s">
        <v>133</v>
      </c>
      <c r="D19" s="5" t="s">
        <v>373</v>
      </c>
      <c r="E19" s="5" t="s">
        <v>74</v>
      </c>
      <c r="F19" s="4" t="s">
        <v>242</v>
      </c>
      <c r="G19" s="4" t="s">
        <v>245</v>
      </c>
      <c r="H19" s="4" t="s">
        <v>163</v>
      </c>
      <c r="I19" s="5" t="s">
        <v>374</v>
      </c>
      <c r="J19" s="5" t="s">
        <v>375</v>
      </c>
      <c r="K19" s="4" t="n">
        <v>8</v>
      </c>
      <c r="L19" s="4" t="n">
        <v>4</v>
      </c>
      <c r="M19" s="4" t="s">
        <v>317</v>
      </c>
      <c r="N19" s="4" t="n">
        <f aca="false">K19-L19</f>
        <v>4</v>
      </c>
    </row>
    <row r="20" customFormat="false" ht="67.5" hidden="false" customHeight="true" outlineLevel="0" collapsed="false">
      <c r="A20" s="4" t="s">
        <v>376</v>
      </c>
      <c r="B20" s="4" t="s">
        <v>360</v>
      </c>
      <c r="C20" s="5" t="s">
        <v>159</v>
      </c>
      <c r="D20" s="5" t="s">
        <v>377</v>
      </c>
      <c r="E20" s="5" t="s">
        <v>150</v>
      </c>
      <c r="F20" s="4" t="s">
        <v>239</v>
      </c>
      <c r="G20" s="4" t="s">
        <v>239</v>
      </c>
      <c r="H20" s="4" t="s">
        <v>75</v>
      </c>
      <c r="I20" s="5" t="s">
        <v>321</v>
      </c>
      <c r="J20" s="5" t="s">
        <v>378</v>
      </c>
      <c r="K20" s="4" t="n">
        <v>6</v>
      </c>
      <c r="L20" s="4" t="n">
        <v>6</v>
      </c>
      <c r="M20" s="4" t="s">
        <v>317</v>
      </c>
      <c r="N20" s="4" t="n">
        <f aca="false">K20-L20</f>
        <v>0</v>
      </c>
    </row>
    <row r="22" customFormat="false" ht="15" hidden="false" customHeight="false" outlineLevel="0" collapsed="false">
      <c r="C22" s="6" t="s">
        <v>379</v>
      </c>
      <c r="K22" s="6" t="n">
        <f aca="false">SUM(K5:K20)</f>
        <v>183</v>
      </c>
      <c r="L22" s="6" t="n">
        <f aca="false">SUM(L5:L20)</f>
        <v>96</v>
      </c>
      <c r="N22" s="6" t="n">
        <f aca="false">SUM(N5:N20)</f>
        <v>87</v>
      </c>
    </row>
    <row r="23" customFormat="false" ht="15" hidden="false" customHeight="false" outlineLevel="0" collapsed="false">
      <c r="C23" s="6" t="s">
        <v>380</v>
      </c>
      <c r="K23" s="6" t="n">
        <f aca="false">COUNTIF(F5:F20,"Critical")</f>
        <v>3</v>
      </c>
    </row>
    <row r="25" customFormat="false" ht="15" hidden="false" customHeight="false" outlineLevel="0" collapsed="false">
      <c r="A25" s="6" t="s">
        <v>381</v>
      </c>
    </row>
    <row r="26" customFormat="false" ht="15" hidden="false" customHeight="false" outlineLevel="0" collapsed="false">
      <c r="A26" s="2" t="s">
        <v>382</v>
      </c>
    </row>
    <row r="27" customFormat="false" ht="15" hidden="false" customHeight="false" outlineLevel="0" collapsed="false">
      <c r="A27" s="2" t="s">
        <v>383</v>
      </c>
    </row>
    <row r="28" customFormat="false" ht="15" hidden="false" customHeight="false" outlineLevel="0" collapsed="false">
      <c r="A28" s="2" t="s">
        <v>384</v>
      </c>
    </row>
    <row r="29" customFormat="false" ht="15" hidden="false" customHeight="false" outlineLevel="0" collapsed="false">
      <c r="A29" s="2" t="s">
        <v>385</v>
      </c>
    </row>
  </sheetData>
  <autoFilter ref="A4:N20"/>
  <conditionalFormatting sqref="F5:F20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2026-07-30T17:48:10Z</dcterms:created>
  <dc:creator>openpyxl</dc:creator>
  <dc:description/>
  <dc:language>en-US</dc:language>
  <cp:lastModifiedBy/>
  <dcterms:modified xsi:type="dcterms:W3CDTF">2026-07-30T17:48:10Z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